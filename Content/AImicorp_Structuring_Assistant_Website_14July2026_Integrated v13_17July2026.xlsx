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neel Teja\Downloads\"/>
    </mc:Choice>
  </mc:AlternateContent>
  <xr:revisionPtr revIDLastSave="0" documentId="13_ncr:1_{2260A490-16B1-4FD3-8351-D8C1DB6DF591}" xr6:coauthVersionLast="47" xr6:coauthVersionMax="47" xr10:uidLastSave="{00000000-0000-0000-0000-000000000000}"/>
  <bookViews>
    <workbookView xWindow="28635" yWindow="-165" windowWidth="29130" windowHeight="15810" tabRatio="500" firstSheet="2" activeTab="6" xr2:uid="{00000000-000D-0000-FFFF-FFFF00000000}"/>
  </bookViews>
  <sheets>
    <sheet name="Fee Breakdown by Entity" sheetId="1" r:id="rId1"/>
    <sheet name="Verify" sheetId="49" r:id="rId2"/>
    <sheet name="Juris" sheetId="48" r:id="rId3"/>
    <sheet name="Juris+EntiType" sheetId="47" r:id="rId4"/>
    <sheet name="Juris+EntiType_Subtype" sheetId="50" r:id="rId5"/>
    <sheet name="Fund Products" sheetId="51" r:id="rId6"/>
    <sheet name="Fund Services" sheetId="52" r:id="rId7"/>
  </sheets>
  <definedNames>
    <definedName name="_xlnm._FilterDatabase" localSheetId="0" hidden="1">'Fee Breakdown by Entity'!$A$4:$DG$288</definedName>
    <definedName name="_xlnm._FilterDatabase" localSheetId="6" hidden="1">'Fund Services'!$A$1:$I$159</definedName>
    <definedName name="_xlnm._FilterDatabase" localSheetId="2" hidden="1">Juris!$A$1:$A$63</definedName>
    <definedName name="_xlnm._FilterDatabase" localSheetId="3" hidden="1">'Juris+EntiType'!$A$1:$B$63</definedName>
    <definedName name="_xlnm._FilterDatabase" localSheetId="1" hidden="1">Verify!#REF!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24" i="52" l="1"/>
  <c r="B124" i="52"/>
  <c r="C124" i="52"/>
  <c r="F124" i="52"/>
  <c r="A125" i="52"/>
  <c r="B125" i="52"/>
  <c r="C125" i="52"/>
  <c r="F125" i="52"/>
  <c r="A126" i="52"/>
  <c r="B126" i="52"/>
  <c r="C126" i="52"/>
  <c r="F126" i="52"/>
  <c r="A127" i="52"/>
  <c r="B127" i="52"/>
  <c r="C127" i="52"/>
  <c r="F127" i="52"/>
  <c r="A128" i="52"/>
  <c r="B128" i="52"/>
  <c r="C128" i="52"/>
  <c r="F128" i="52"/>
  <c r="A129" i="52"/>
  <c r="B129" i="52"/>
  <c r="C129" i="52"/>
  <c r="F129" i="52"/>
  <c r="A130" i="52"/>
  <c r="B130" i="52"/>
  <c r="C130" i="52"/>
  <c r="F130" i="52"/>
  <c r="A131" i="52"/>
  <c r="B131" i="52"/>
  <c r="C131" i="52"/>
  <c r="F131" i="52"/>
  <c r="A132" i="52"/>
  <c r="B132" i="52"/>
  <c r="C132" i="52"/>
  <c r="F132" i="52"/>
  <c r="A133" i="52"/>
  <c r="B133" i="52"/>
  <c r="C133" i="52"/>
  <c r="F133" i="52"/>
  <c r="A134" i="52"/>
  <c r="B134" i="52"/>
  <c r="C134" i="52"/>
  <c r="F134" i="52"/>
  <c r="A135" i="52"/>
  <c r="B135" i="52"/>
  <c r="C135" i="52"/>
  <c r="F135" i="52"/>
  <c r="A136" i="52"/>
  <c r="B136" i="52"/>
  <c r="C136" i="52"/>
  <c r="F136" i="52"/>
  <c r="A137" i="52"/>
  <c r="B137" i="52"/>
  <c r="C137" i="52"/>
  <c r="F137" i="52"/>
  <c r="A138" i="52"/>
  <c r="B138" i="52"/>
  <c r="C138" i="52"/>
  <c r="F138" i="52"/>
  <c r="A139" i="52"/>
  <c r="B139" i="52"/>
  <c r="C139" i="52"/>
  <c r="F139" i="52"/>
  <c r="A140" i="52"/>
  <c r="B140" i="52"/>
  <c r="C140" i="52"/>
  <c r="F140" i="52"/>
  <c r="A141" i="52"/>
  <c r="B141" i="52"/>
  <c r="C141" i="52"/>
  <c r="F141" i="52"/>
  <c r="A142" i="52"/>
  <c r="B142" i="52"/>
  <c r="C142" i="52"/>
  <c r="F142" i="52"/>
  <c r="A143" i="52"/>
  <c r="B143" i="52"/>
  <c r="C143" i="52"/>
  <c r="F143" i="52"/>
  <c r="A144" i="52"/>
  <c r="B144" i="52"/>
  <c r="C144" i="52"/>
  <c r="F144" i="52"/>
  <c r="A145" i="52"/>
  <c r="B145" i="52"/>
  <c r="C145" i="52"/>
  <c r="F145" i="52"/>
  <c r="A146" i="52"/>
  <c r="B146" i="52"/>
  <c r="C146" i="52"/>
  <c r="F146" i="52"/>
  <c r="A147" i="52"/>
  <c r="B147" i="52"/>
  <c r="C147" i="52"/>
  <c r="F147" i="52"/>
  <c r="A148" i="52"/>
  <c r="B148" i="52"/>
  <c r="C148" i="52"/>
  <c r="F148" i="52"/>
  <c r="A149" i="52"/>
  <c r="B149" i="52"/>
  <c r="C149" i="52"/>
  <c r="F149" i="52"/>
  <c r="A150" i="52"/>
  <c r="B150" i="52"/>
  <c r="C150" i="52"/>
  <c r="F150" i="52"/>
  <c r="A151" i="52"/>
  <c r="B151" i="52"/>
  <c r="C151" i="52"/>
  <c r="F151" i="52"/>
  <c r="A152" i="52"/>
  <c r="B152" i="52"/>
  <c r="C152" i="52"/>
  <c r="F152" i="52"/>
  <c r="A153" i="52"/>
  <c r="B153" i="52"/>
  <c r="C153" i="52"/>
  <c r="F153" i="52"/>
  <c r="A154" i="52"/>
  <c r="B154" i="52"/>
  <c r="C154" i="52"/>
  <c r="F154" i="52"/>
  <c r="A155" i="52"/>
  <c r="B155" i="52"/>
  <c r="C155" i="52"/>
  <c r="F155" i="52"/>
  <c r="A156" i="52"/>
  <c r="B156" i="52"/>
  <c r="C156" i="52"/>
  <c r="F156" i="52"/>
  <c r="A157" i="52"/>
  <c r="B157" i="52"/>
  <c r="C157" i="52"/>
  <c r="F157" i="52"/>
  <c r="A158" i="52"/>
  <c r="B158" i="52"/>
  <c r="C158" i="52"/>
  <c r="F158" i="52"/>
  <c r="A159" i="52"/>
  <c r="B159" i="52"/>
  <c r="C159" i="52"/>
  <c r="F159" i="52"/>
  <c r="A65" i="52"/>
  <c r="B65" i="52"/>
  <c r="C65" i="52"/>
  <c r="F65" i="52"/>
  <c r="A66" i="52"/>
  <c r="B66" i="52"/>
  <c r="C66" i="52"/>
  <c r="F66" i="52"/>
  <c r="A67" i="52"/>
  <c r="B67" i="52"/>
  <c r="C67" i="52"/>
  <c r="F67" i="52"/>
  <c r="A68" i="52"/>
  <c r="B68" i="52"/>
  <c r="C68" i="52"/>
  <c r="F68" i="52"/>
  <c r="A69" i="52"/>
  <c r="B69" i="52"/>
  <c r="C69" i="52"/>
  <c r="F69" i="52"/>
  <c r="A70" i="52"/>
  <c r="B70" i="52"/>
  <c r="C70" i="52"/>
  <c r="F70" i="52"/>
  <c r="A71" i="52"/>
  <c r="B71" i="52"/>
  <c r="C71" i="52"/>
  <c r="F71" i="52"/>
  <c r="A72" i="52"/>
  <c r="B72" i="52"/>
  <c r="C72" i="52"/>
  <c r="F72" i="52"/>
  <c r="A73" i="52"/>
  <c r="B73" i="52"/>
  <c r="C73" i="52"/>
  <c r="F73" i="52"/>
  <c r="A74" i="52"/>
  <c r="B74" i="52"/>
  <c r="C74" i="52"/>
  <c r="F74" i="52"/>
  <c r="A75" i="52"/>
  <c r="B75" i="52"/>
  <c r="C75" i="52"/>
  <c r="F75" i="52"/>
  <c r="A76" i="52"/>
  <c r="B76" i="52"/>
  <c r="C76" i="52"/>
  <c r="F76" i="52"/>
  <c r="A77" i="52"/>
  <c r="B77" i="52"/>
  <c r="C77" i="52"/>
  <c r="F77" i="52"/>
  <c r="A78" i="52"/>
  <c r="B78" i="52"/>
  <c r="C78" i="52"/>
  <c r="F78" i="52"/>
  <c r="A79" i="52"/>
  <c r="B79" i="52"/>
  <c r="C79" i="52"/>
  <c r="F79" i="52"/>
  <c r="A80" i="52"/>
  <c r="B80" i="52"/>
  <c r="C80" i="52"/>
  <c r="F80" i="52"/>
  <c r="A81" i="52"/>
  <c r="B81" i="52"/>
  <c r="C81" i="52"/>
  <c r="F81" i="52"/>
  <c r="A82" i="52"/>
  <c r="B82" i="52"/>
  <c r="C82" i="52"/>
  <c r="F82" i="52"/>
  <c r="A83" i="52"/>
  <c r="B83" i="52"/>
  <c r="C83" i="52"/>
  <c r="F83" i="52"/>
  <c r="A84" i="52"/>
  <c r="B84" i="52"/>
  <c r="C84" i="52"/>
  <c r="F84" i="52"/>
  <c r="A85" i="52"/>
  <c r="B85" i="52"/>
  <c r="C85" i="52"/>
  <c r="F85" i="52"/>
  <c r="A86" i="52"/>
  <c r="B86" i="52"/>
  <c r="C86" i="52"/>
  <c r="F86" i="52"/>
  <c r="A87" i="52"/>
  <c r="B87" i="52"/>
  <c r="C87" i="52"/>
  <c r="F87" i="52"/>
  <c r="A88" i="52"/>
  <c r="B88" i="52"/>
  <c r="C88" i="52"/>
  <c r="F88" i="52"/>
  <c r="A89" i="52"/>
  <c r="B89" i="52"/>
  <c r="C89" i="52"/>
  <c r="F89" i="52"/>
  <c r="A90" i="52"/>
  <c r="B90" i="52"/>
  <c r="C90" i="52"/>
  <c r="F90" i="52"/>
  <c r="A91" i="52"/>
  <c r="B91" i="52"/>
  <c r="C91" i="52"/>
  <c r="F91" i="52"/>
  <c r="A92" i="52"/>
  <c r="B92" i="52"/>
  <c r="C92" i="52"/>
  <c r="F92" i="52"/>
  <c r="A93" i="52"/>
  <c r="B93" i="52"/>
  <c r="C93" i="52"/>
  <c r="F93" i="52"/>
  <c r="A94" i="52"/>
  <c r="B94" i="52"/>
  <c r="C94" i="52"/>
  <c r="F94" i="52"/>
  <c r="A95" i="52"/>
  <c r="B95" i="52"/>
  <c r="C95" i="52"/>
  <c r="F95" i="52"/>
  <c r="A96" i="52"/>
  <c r="B96" i="52"/>
  <c r="C96" i="52"/>
  <c r="F96" i="52"/>
  <c r="A97" i="52"/>
  <c r="B97" i="52"/>
  <c r="C97" i="52"/>
  <c r="F97" i="52"/>
  <c r="A98" i="52"/>
  <c r="B98" i="52"/>
  <c r="C98" i="52"/>
  <c r="F98" i="52"/>
  <c r="A99" i="52"/>
  <c r="B99" i="52"/>
  <c r="C99" i="52"/>
  <c r="F99" i="52"/>
  <c r="A100" i="52"/>
  <c r="B100" i="52"/>
  <c r="C100" i="52"/>
  <c r="F100" i="52"/>
  <c r="A101" i="52"/>
  <c r="B101" i="52"/>
  <c r="C101" i="52"/>
  <c r="F101" i="52"/>
  <c r="A102" i="52"/>
  <c r="B102" i="52"/>
  <c r="C102" i="52"/>
  <c r="F102" i="52"/>
  <c r="A103" i="52"/>
  <c r="B103" i="52"/>
  <c r="C103" i="52"/>
  <c r="F103" i="52"/>
  <c r="A104" i="52"/>
  <c r="B104" i="52"/>
  <c r="C104" i="52"/>
  <c r="F104" i="52"/>
  <c r="A105" i="52"/>
  <c r="B105" i="52"/>
  <c r="C105" i="52"/>
  <c r="F105" i="52"/>
  <c r="A106" i="52"/>
  <c r="B106" i="52"/>
  <c r="C106" i="52"/>
  <c r="F106" i="52"/>
  <c r="A107" i="52"/>
  <c r="B107" i="52"/>
  <c r="C107" i="52"/>
  <c r="F107" i="52"/>
  <c r="A108" i="52"/>
  <c r="B108" i="52"/>
  <c r="C108" i="52"/>
  <c r="F108" i="52"/>
  <c r="A109" i="52"/>
  <c r="B109" i="52"/>
  <c r="C109" i="52"/>
  <c r="F109" i="52"/>
  <c r="A110" i="52"/>
  <c r="B110" i="52"/>
  <c r="C110" i="52"/>
  <c r="F110" i="52"/>
  <c r="A111" i="52"/>
  <c r="B111" i="52"/>
  <c r="C111" i="52"/>
  <c r="F111" i="52"/>
  <c r="A112" i="52"/>
  <c r="B112" i="52"/>
  <c r="C112" i="52"/>
  <c r="F112" i="52"/>
  <c r="A113" i="52"/>
  <c r="B113" i="52"/>
  <c r="C113" i="52"/>
  <c r="F113" i="52"/>
  <c r="A114" i="52"/>
  <c r="B114" i="52"/>
  <c r="C114" i="52"/>
  <c r="F114" i="52"/>
  <c r="A115" i="52"/>
  <c r="B115" i="52"/>
  <c r="C115" i="52"/>
  <c r="F115" i="52"/>
  <c r="A116" i="52"/>
  <c r="B116" i="52"/>
  <c r="C116" i="52"/>
  <c r="F116" i="52"/>
  <c r="A117" i="52"/>
  <c r="B117" i="52"/>
  <c r="C117" i="52"/>
  <c r="F117" i="52"/>
  <c r="A118" i="52"/>
  <c r="B118" i="52"/>
  <c r="C118" i="52"/>
  <c r="F118" i="52"/>
  <c r="A119" i="52"/>
  <c r="B119" i="52"/>
  <c r="C119" i="52"/>
  <c r="F119" i="52"/>
  <c r="A120" i="52"/>
  <c r="B120" i="52"/>
  <c r="C120" i="52"/>
  <c r="F120" i="52"/>
  <c r="A121" i="52"/>
  <c r="B121" i="52"/>
  <c r="C121" i="52"/>
  <c r="F121" i="52"/>
  <c r="A122" i="52"/>
  <c r="B122" i="52"/>
  <c r="C122" i="52"/>
  <c r="F122" i="52"/>
  <c r="A123" i="52"/>
  <c r="B123" i="52"/>
  <c r="C123" i="52"/>
  <c r="F123" i="52"/>
  <c r="A2" i="52"/>
  <c r="B2" i="52"/>
  <c r="C2" i="52"/>
  <c r="F2" i="52"/>
  <c r="A3" i="52"/>
  <c r="B3" i="52"/>
  <c r="C3" i="52"/>
  <c r="F3" i="52"/>
  <c r="A4" i="52"/>
  <c r="B4" i="52"/>
  <c r="C4" i="52"/>
  <c r="F4" i="52"/>
  <c r="A5" i="52"/>
  <c r="B5" i="52"/>
  <c r="C5" i="52"/>
  <c r="F5" i="52"/>
  <c r="A6" i="52"/>
  <c r="B6" i="52"/>
  <c r="C6" i="52"/>
  <c r="F6" i="52"/>
  <c r="A7" i="52"/>
  <c r="B7" i="52"/>
  <c r="C7" i="52"/>
  <c r="F7" i="52"/>
  <c r="A8" i="52"/>
  <c r="B8" i="52"/>
  <c r="C8" i="52"/>
  <c r="F8" i="52"/>
  <c r="A9" i="52"/>
  <c r="B9" i="52"/>
  <c r="C9" i="52"/>
  <c r="F9" i="52"/>
  <c r="A10" i="52"/>
  <c r="B10" i="52"/>
  <c r="C10" i="52"/>
  <c r="F10" i="52"/>
  <c r="A11" i="52"/>
  <c r="B11" i="52"/>
  <c r="C11" i="52"/>
  <c r="F11" i="52"/>
  <c r="A12" i="52"/>
  <c r="B12" i="52"/>
  <c r="C12" i="52"/>
  <c r="F12" i="52"/>
  <c r="A13" i="52"/>
  <c r="B13" i="52"/>
  <c r="C13" i="52"/>
  <c r="F13" i="52"/>
  <c r="A14" i="52"/>
  <c r="B14" i="52"/>
  <c r="C14" i="52"/>
  <c r="F14" i="52"/>
  <c r="A15" i="52"/>
  <c r="B15" i="52"/>
  <c r="C15" i="52"/>
  <c r="F15" i="52"/>
  <c r="A16" i="52"/>
  <c r="B16" i="52"/>
  <c r="C16" i="52"/>
  <c r="F16" i="52"/>
  <c r="A17" i="52"/>
  <c r="B17" i="52"/>
  <c r="C17" i="52"/>
  <c r="F17" i="52"/>
  <c r="A18" i="52"/>
  <c r="B18" i="52"/>
  <c r="C18" i="52"/>
  <c r="F18" i="52"/>
  <c r="A19" i="52"/>
  <c r="B19" i="52"/>
  <c r="C19" i="52"/>
  <c r="F19" i="52"/>
  <c r="A20" i="52"/>
  <c r="B20" i="52"/>
  <c r="C20" i="52"/>
  <c r="F20" i="52"/>
  <c r="A21" i="52"/>
  <c r="B21" i="52"/>
  <c r="C21" i="52"/>
  <c r="F21" i="52"/>
  <c r="A22" i="52"/>
  <c r="B22" i="52"/>
  <c r="C22" i="52"/>
  <c r="F22" i="52"/>
  <c r="A23" i="52"/>
  <c r="B23" i="52"/>
  <c r="C23" i="52"/>
  <c r="F23" i="52"/>
  <c r="A24" i="52"/>
  <c r="B24" i="52"/>
  <c r="C24" i="52"/>
  <c r="F24" i="52"/>
  <c r="A25" i="52"/>
  <c r="B25" i="52"/>
  <c r="C25" i="52"/>
  <c r="F25" i="52"/>
  <c r="A26" i="52"/>
  <c r="B26" i="52"/>
  <c r="C26" i="52"/>
  <c r="F26" i="52"/>
  <c r="A27" i="52"/>
  <c r="B27" i="52"/>
  <c r="C27" i="52"/>
  <c r="F27" i="52"/>
  <c r="A28" i="52"/>
  <c r="B28" i="52"/>
  <c r="C28" i="52"/>
  <c r="F28" i="52"/>
  <c r="A29" i="52"/>
  <c r="B29" i="52"/>
  <c r="C29" i="52"/>
  <c r="F29" i="52"/>
  <c r="A30" i="52"/>
  <c r="B30" i="52"/>
  <c r="C30" i="52"/>
  <c r="F30" i="52"/>
  <c r="A31" i="52"/>
  <c r="B31" i="52"/>
  <c r="C31" i="52"/>
  <c r="F31" i="52"/>
  <c r="A32" i="52"/>
  <c r="B32" i="52"/>
  <c r="C32" i="52"/>
  <c r="F32" i="52"/>
  <c r="A33" i="52"/>
  <c r="B33" i="52"/>
  <c r="C33" i="52"/>
  <c r="F33" i="52"/>
  <c r="A34" i="52"/>
  <c r="B34" i="52"/>
  <c r="C34" i="52"/>
  <c r="F34" i="52"/>
  <c r="A35" i="52"/>
  <c r="B35" i="52"/>
  <c r="C35" i="52"/>
  <c r="F35" i="52"/>
  <c r="A36" i="52"/>
  <c r="B36" i="52"/>
  <c r="C36" i="52"/>
  <c r="F36" i="52"/>
  <c r="A37" i="52"/>
  <c r="B37" i="52"/>
  <c r="C37" i="52"/>
  <c r="F37" i="52"/>
  <c r="A38" i="52"/>
  <c r="B38" i="52"/>
  <c r="C38" i="52"/>
  <c r="F38" i="52"/>
  <c r="A39" i="52"/>
  <c r="B39" i="52"/>
  <c r="C39" i="52"/>
  <c r="F39" i="52"/>
  <c r="A40" i="52"/>
  <c r="B40" i="52"/>
  <c r="C40" i="52"/>
  <c r="F40" i="52"/>
  <c r="A41" i="52"/>
  <c r="B41" i="52"/>
  <c r="C41" i="52"/>
  <c r="F41" i="52"/>
  <c r="A42" i="52"/>
  <c r="B42" i="52"/>
  <c r="C42" i="52"/>
  <c r="F42" i="52"/>
  <c r="A43" i="52"/>
  <c r="B43" i="52"/>
  <c r="C43" i="52"/>
  <c r="F43" i="52"/>
  <c r="A44" i="52"/>
  <c r="B44" i="52"/>
  <c r="C44" i="52"/>
  <c r="F44" i="52"/>
  <c r="A45" i="52"/>
  <c r="B45" i="52"/>
  <c r="C45" i="52"/>
  <c r="F45" i="52"/>
  <c r="A46" i="52"/>
  <c r="B46" i="52"/>
  <c r="C46" i="52"/>
  <c r="F46" i="52"/>
  <c r="A47" i="52"/>
  <c r="B47" i="52"/>
  <c r="C47" i="52"/>
  <c r="F47" i="52"/>
  <c r="A48" i="52"/>
  <c r="B48" i="52"/>
  <c r="C48" i="52"/>
  <c r="F48" i="52"/>
  <c r="A49" i="52"/>
  <c r="B49" i="52"/>
  <c r="C49" i="52"/>
  <c r="F49" i="52"/>
  <c r="A50" i="52"/>
  <c r="B50" i="52"/>
  <c r="C50" i="52"/>
  <c r="F50" i="52"/>
  <c r="A51" i="52"/>
  <c r="B51" i="52"/>
  <c r="C51" i="52"/>
  <c r="F51" i="52"/>
  <c r="A52" i="52"/>
  <c r="B52" i="52"/>
  <c r="C52" i="52"/>
  <c r="F52" i="52"/>
  <c r="A53" i="52"/>
  <c r="B53" i="52"/>
  <c r="C53" i="52"/>
  <c r="F53" i="52"/>
  <c r="A54" i="52"/>
  <c r="B54" i="52"/>
  <c r="C54" i="52"/>
  <c r="F54" i="52"/>
  <c r="A55" i="52"/>
  <c r="B55" i="52"/>
  <c r="C55" i="52"/>
  <c r="F55" i="52"/>
  <c r="A56" i="52"/>
  <c r="B56" i="52"/>
  <c r="C56" i="52"/>
  <c r="F56" i="52"/>
  <c r="A57" i="52"/>
  <c r="B57" i="52"/>
  <c r="C57" i="52"/>
  <c r="F57" i="52"/>
  <c r="A58" i="52"/>
  <c r="B58" i="52"/>
  <c r="C58" i="52"/>
  <c r="F58" i="52"/>
  <c r="A59" i="52"/>
  <c r="B59" i="52"/>
  <c r="C59" i="52"/>
  <c r="F59" i="52"/>
  <c r="A60" i="52"/>
  <c r="B60" i="52"/>
  <c r="C60" i="52"/>
  <c r="F60" i="52"/>
  <c r="A61" i="52"/>
  <c r="B61" i="52"/>
  <c r="C61" i="52"/>
  <c r="F61" i="52"/>
  <c r="A62" i="52"/>
  <c r="B62" i="52"/>
  <c r="C62" i="52"/>
  <c r="F62" i="52"/>
  <c r="A63" i="52"/>
  <c r="B63" i="52"/>
  <c r="C63" i="52"/>
  <c r="F63" i="52"/>
  <c r="A64" i="52"/>
  <c r="B64" i="52"/>
  <c r="C64" i="52"/>
  <c r="F64" i="52"/>
  <c r="A4" i="51" a="1"/>
  <c r="A4" i="51" s="1"/>
  <c r="D1" i="47"/>
  <c r="B6" i="49"/>
  <c r="E1" i="50"/>
  <c r="C1" i="48" l="1"/>
  <c r="DF288" i="1"/>
  <c r="DG288" i="1" s="1"/>
  <c r="DD288" i="1"/>
  <c r="DF287" i="1"/>
  <c r="DF286" i="1"/>
  <c r="DG286" i="1" s="1"/>
  <c r="DD286" i="1"/>
  <c r="DF285" i="1"/>
  <c r="DF284" i="1"/>
  <c r="DG284" i="1" s="1"/>
  <c r="DD284" i="1"/>
  <c r="DF283" i="1"/>
  <c r="DG283" i="1" s="1"/>
  <c r="DD283" i="1"/>
  <c r="DF282" i="1"/>
  <c r="DG282" i="1" s="1"/>
  <c r="DD282" i="1"/>
  <c r="DF281" i="1"/>
  <c r="DG281" i="1" s="1"/>
  <c r="DD281" i="1"/>
  <c r="DF280" i="1"/>
  <c r="DG280" i="1" s="1"/>
  <c r="DD280" i="1"/>
  <c r="DF279" i="1"/>
  <c r="DF278" i="1"/>
  <c r="DG278" i="1" s="1"/>
  <c r="DD278" i="1"/>
  <c r="DF277" i="1"/>
  <c r="DG277" i="1" s="1"/>
  <c r="DD277" i="1"/>
  <c r="DF276" i="1"/>
  <c r="DG276" i="1" s="1"/>
  <c r="DD276" i="1"/>
  <c r="DF275" i="1"/>
  <c r="DG275" i="1" s="1"/>
  <c r="DD275" i="1"/>
  <c r="DF274" i="1"/>
  <c r="DF273" i="1"/>
  <c r="DG273" i="1" s="1"/>
  <c r="DD273" i="1"/>
  <c r="DF272" i="1"/>
  <c r="DG272" i="1" s="1"/>
  <c r="DD272" i="1"/>
  <c r="DF271" i="1"/>
  <c r="DG271" i="1" s="1"/>
  <c r="DD271" i="1"/>
  <c r="DF270" i="1"/>
  <c r="DG270" i="1" s="1"/>
  <c r="DD270" i="1"/>
  <c r="DF269" i="1"/>
  <c r="DG269" i="1" s="1"/>
  <c r="DD269" i="1"/>
  <c r="DF268" i="1"/>
  <c r="DF267" i="1"/>
  <c r="DG267" i="1" s="1"/>
  <c r="DD267" i="1"/>
  <c r="DF266" i="1"/>
  <c r="DG266" i="1" s="1"/>
  <c r="DD266" i="1"/>
  <c r="DF265" i="1"/>
  <c r="DG265" i="1" s="1"/>
  <c r="DD265" i="1"/>
  <c r="DF264" i="1"/>
  <c r="DG264" i="1" s="1"/>
  <c r="DD264" i="1"/>
  <c r="DF263" i="1"/>
  <c r="DG263" i="1" s="1"/>
  <c r="DD263" i="1"/>
  <c r="DF262" i="1"/>
  <c r="DG262" i="1" s="1"/>
  <c r="DD262" i="1"/>
  <c r="DF261" i="1"/>
  <c r="DF260" i="1"/>
  <c r="DG260" i="1" s="1"/>
  <c r="DD260" i="1"/>
  <c r="DF259" i="1"/>
  <c r="DG259" i="1" s="1"/>
  <c r="DD259" i="1"/>
  <c r="DF258" i="1"/>
  <c r="DG258" i="1" s="1"/>
  <c r="DD258" i="1"/>
  <c r="DF257" i="1"/>
  <c r="DG257" i="1" s="1"/>
  <c r="DD257" i="1"/>
  <c r="DF256" i="1"/>
  <c r="DG256" i="1" s="1"/>
  <c r="DD256" i="1"/>
  <c r="DF255" i="1"/>
  <c r="DG255" i="1" s="1"/>
  <c r="DD255" i="1"/>
  <c r="DF254" i="1"/>
  <c r="DG254" i="1" s="1"/>
  <c r="DD254" i="1"/>
  <c r="DF253" i="1"/>
  <c r="DF252" i="1"/>
  <c r="DG252" i="1" s="1"/>
  <c r="DD252" i="1"/>
  <c r="DF251" i="1"/>
  <c r="DG251" i="1" s="1"/>
  <c r="DD251" i="1"/>
  <c r="DF250" i="1"/>
  <c r="DG250" i="1" s="1"/>
  <c r="DD250" i="1"/>
  <c r="DF249" i="1"/>
  <c r="DG249" i="1" s="1"/>
  <c r="DD249" i="1"/>
  <c r="DF248" i="1"/>
  <c r="DG248" i="1" s="1"/>
  <c r="DD248" i="1"/>
  <c r="DF247" i="1"/>
  <c r="DG247" i="1" s="1"/>
  <c r="DD247" i="1"/>
  <c r="DF246" i="1"/>
  <c r="DG246" i="1" s="1"/>
  <c r="DD246" i="1"/>
  <c r="DF245" i="1"/>
  <c r="DG245" i="1" s="1"/>
  <c r="DD245" i="1"/>
  <c r="DF244" i="1"/>
  <c r="DG244" i="1" s="1"/>
  <c r="DD244" i="1"/>
  <c r="DF243" i="1"/>
  <c r="DG243" i="1" s="1"/>
  <c r="DD243" i="1"/>
  <c r="DF242" i="1"/>
  <c r="DG242" i="1" s="1"/>
  <c r="DD242" i="1"/>
  <c r="DF241" i="1"/>
  <c r="DF240" i="1"/>
  <c r="DG240" i="1" s="1"/>
  <c r="DD240" i="1"/>
  <c r="DF239" i="1"/>
  <c r="DG239" i="1" s="1"/>
  <c r="DD239" i="1"/>
  <c r="DF238" i="1"/>
  <c r="DF237" i="1"/>
  <c r="DG237" i="1" s="1"/>
  <c r="DD237" i="1"/>
  <c r="DF236" i="1"/>
  <c r="DF235" i="1"/>
  <c r="DG235" i="1" s="1"/>
  <c r="DD235" i="1"/>
  <c r="DF233" i="1"/>
  <c r="DG233" i="1" s="1"/>
  <c r="DD233" i="1"/>
  <c r="DF232" i="1"/>
  <c r="DG232" i="1" s="1"/>
  <c r="DD232" i="1"/>
  <c r="DF231" i="1"/>
  <c r="DG231" i="1" s="1"/>
  <c r="DD231" i="1"/>
  <c r="DF230" i="1"/>
  <c r="DG230" i="1" s="1"/>
  <c r="DD230" i="1"/>
  <c r="DF229" i="1"/>
  <c r="DG229" i="1" s="1"/>
  <c r="DD229" i="1"/>
  <c r="DF228" i="1"/>
  <c r="DF227" i="1"/>
  <c r="DG227" i="1" s="1"/>
  <c r="DD227" i="1"/>
  <c r="DF226" i="1"/>
  <c r="DF225" i="1"/>
  <c r="DG225" i="1" s="1"/>
  <c r="DD225" i="1"/>
  <c r="DF224" i="1"/>
  <c r="DG224" i="1" s="1"/>
  <c r="DD224" i="1"/>
  <c r="DF223" i="1"/>
  <c r="DF222" i="1"/>
  <c r="DG222" i="1" s="1"/>
  <c r="DD222" i="1"/>
  <c r="DF221" i="1"/>
  <c r="DG221" i="1" s="1"/>
  <c r="DD221" i="1"/>
  <c r="DF220" i="1"/>
  <c r="DG220" i="1" s="1"/>
  <c r="DD220" i="1"/>
  <c r="DF219" i="1"/>
  <c r="DG219" i="1" s="1"/>
  <c r="DD219" i="1"/>
  <c r="DF218" i="1"/>
  <c r="DG218" i="1" s="1"/>
  <c r="DD218" i="1"/>
  <c r="DF217" i="1"/>
  <c r="DG217" i="1" s="1"/>
  <c r="DD217" i="1"/>
  <c r="DF216" i="1"/>
  <c r="DG216" i="1" s="1"/>
  <c r="DD216" i="1"/>
  <c r="DF215" i="1"/>
  <c r="DF214" i="1"/>
  <c r="DG214" i="1" s="1"/>
  <c r="DD214" i="1"/>
  <c r="DF212" i="1"/>
  <c r="DG212" i="1" s="1"/>
  <c r="DD212" i="1"/>
  <c r="DF211" i="1"/>
  <c r="DG211" i="1" s="1"/>
  <c r="DD211" i="1"/>
  <c r="DF210" i="1"/>
  <c r="DG210" i="1" s="1"/>
  <c r="DD210" i="1"/>
  <c r="DF209" i="1"/>
  <c r="DG209" i="1" s="1"/>
  <c r="DD209" i="1"/>
  <c r="DF208" i="1"/>
  <c r="DG208" i="1" s="1"/>
  <c r="DD208" i="1"/>
  <c r="DF207" i="1"/>
  <c r="DG207" i="1" s="1"/>
  <c r="DD207" i="1"/>
  <c r="DF206" i="1"/>
  <c r="DF205" i="1"/>
  <c r="DG205" i="1" s="1"/>
  <c r="DD205" i="1"/>
  <c r="DF204" i="1"/>
  <c r="DG204" i="1" s="1"/>
  <c r="DD204" i="1"/>
  <c r="DF203" i="1"/>
  <c r="DG203" i="1" s="1"/>
  <c r="DD203" i="1"/>
  <c r="DF202" i="1"/>
  <c r="DF201" i="1"/>
  <c r="DG201" i="1" s="1"/>
  <c r="DD201" i="1"/>
  <c r="DF200" i="1"/>
  <c r="DG200" i="1" s="1"/>
  <c r="DD200" i="1"/>
  <c r="DF199" i="1"/>
  <c r="DG199" i="1" s="1"/>
  <c r="DD199" i="1"/>
  <c r="DF198" i="1"/>
  <c r="DG198" i="1" s="1"/>
  <c r="DD198" i="1"/>
  <c r="DF197" i="1"/>
  <c r="DG197" i="1" s="1"/>
  <c r="DD197" i="1"/>
  <c r="DF196" i="1"/>
  <c r="DG196" i="1" s="1"/>
  <c r="DD196" i="1"/>
  <c r="DF195" i="1"/>
  <c r="DG195" i="1" s="1"/>
  <c r="DD195" i="1"/>
  <c r="DF194" i="1"/>
  <c r="DG194" i="1" s="1"/>
  <c r="DD194" i="1"/>
  <c r="DF193" i="1"/>
  <c r="DG193" i="1" s="1"/>
  <c r="DD193" i="1"/>
  <c r="DF192" i="1"/>
  <c r="DG192" i="1" s="1"/>
  <c r="DD192" i="1"/>
  <c r="DF191" i="1"/>
  <c r="DF190" i="1"/>
  <c r="DG190" i="1" s="1"/>
  <c r="DD190" i="1"/>
  <c r="DF189" i="1"/>
  <c r="DG189" i="1" s="1"/>
  <c r="DD189" i="1"/>
  <c r="DF188" i="1"/>
  <c r="DG188" i="1" s="1"/>
  <c r="DD188" i="1"/>
  <c r="DF187" i="1"/>
  <c r="DG187" i="1" s="1"/>
  <c r="DD187" i="1"/>
  <c r="DF186" i="1"/>
  <c r="DG186" i="1" s="1"/>
  <c r="DD186" i="1"/>
  <c r="DF185" i="1"/>
  <c r="DG185" i="1" s="1"/>
  <c r="DD185" i="1"/>
  <c r="DF184" i="1"/>
  <c r="DG184" i="1" s="1"/>
  <c r="DD184" i="1"/>
  <c r="DF183" i="1"/>
  <c r="DG183" i="1" s="1"/>
  <c r="DD183" i="1"/>
  <c r="DF182" i="1"/>
  <c r="DG182" i="1" s="1"/>
  <c r="DD182" i="1"/>
  <c r="DF181" i="1"/>
  <c r="DF180" i="1"/>
  <c r="DG180" i="1" s="1"/>
  <c r="DD180" i="1"/>
  <c r="DF179" i="1"/>
  <c r="DG179" i="1" s="1"/>
  <c r="DD179" i="1"/>
  <c r="DF178" i="1"/>
  <c r="DG178" i="1" s="1"/>
  <c r="DD178" i="1"/>
  <c r="DF177" i="1"/>
  <c r="DG177" i="1" s="1"/>
  <c r="DD177" i="1"/>
  <c r="DF176" i="1"/>
  <c r="DG176" i="1" s="1"/>
  <c r="DD176" i="1"/>
  <c r="DF175" i="1"/>
  <c r="DG175" i="1" s="1"/>
  <c r="DD175" i="1"/>
  <c r="DF174" i="1"/>
  <c r="DG174" i="1" s="1"/>
  <c r="DD174" i="1"/>
  <c r="DF173" i="1"/>
  <c r="DG173" i="1" s="1"/>
  <c r="DD173" i="1"/>
  <c r="DF172" i="1"/>
  <c r="DG172" i="1" s="1"/>
  <c r="DD172" i="1"/>
  <c r="DF171" i="1"/>
  <c r="DG171" i="1" s="1"/>
  <c r="DD171" i="1"/>
  <c r="DF170" i="1"/>
  <c r="DG170" i="1" s="1"/>
  <c r="DD170" i="1"/>
  <c r="DF169" i="1"/>
  <c r="DG169" i="1" s="1"/>
  <c r="DD169" i="1"/>
  <c r="DF168" i="1"/>
  <c r="DF167" i="1"/>
  <c r="DG167" i="1" s="1"/>
  <c r="DD167" i="1"/>
  <c r="DF166" i="1"/>
  <c r="DF165" i="1"/>
  <c r="DG165" i="1" s="1"/>
  <c r="DD165" i="1"/>
  <c r="DF164" i="1"/>
  <c r="DG164" i="1" s="1"/>
  <c r="DD164" i="1"/>
  <c r="DF163" i="1"/>
  <c r="DG163" i="1" s="1"/>
  <c r="DD163" i="1"/>
  <c r="DF162" i="1"/>
  <c r="DG162" i="1" s="1"/>
  <c r="DD162" i="1"/>
  <c r="DF161" i="1"/>
  <c r="DG161" i="1" s="1"/>
  <c r="DD161" i="1"/>
  <c r="DF160" i="1"/>
  <c r="DG160" i="1" s="1"/>
  <c r="DD160" i="1"/>
  <c r="DF159" i="1"/>
  <c r="DF158" i="1"/>
  <c r="DG158" i="1" s="1"/>
  <c r="DD158" i="1"/>
  <c r="DF157" i="1"/>
  <c r="DF156" i="1"/>
  <c r="DG156" i="1" s="1"/>
  <c r="DD156" i="1"/>
  <c r="DF155" i="1"/>
  <c r="DG155" i="1" s="1"/>
  <c r="DD155" i="1"/>
  <c r="DF154" i="1"/>
  <c r="DG154" i="1" s="1"/>
  <c r="DD154" i="1"/>
  <c r="DF153" i="1"/>
  <c r="DG153" i="1" s="1"/>
  <c r="DD153" i="1"/>
  <c r="DF152" i="1"/>
  <c r="DG152" i="1" s="1"/>
  <c r="DD152" i="1"/>
  <c r="DF151" i="1"/>
  <c r="DG151" i="1" s="1"/>
  <c r="DD151" i="1"/>
  <c r="DF150" i="1"/>
  <c r="DG150" i="1" s="1"/>
  <c r="DD150" i="1"/>
  <c r="DF149" i="1"/>
  <c r="DG149" i="1" s="1"/>
  <c r="DD149" i="1"/>
  <c r="DF148" i="1"/>
  <c r="DG148" i="1" s="1"/>
  <c r="DD148" i="1"/>
  <c r="DF147" i="1"/>
  <c r="DG147" i="1" s="1"/>
  <c r="DD147" i="1"/>
  <c r="DF146" i="1"/>
  <c r="DG146" i="1" s="1"/>
  <c r="DD146" i="1"/>
  <c r="DF145" i="1"/>
  <c r="DG145" i="1" s="1"/>
  <c r="DD145" i="1"/>
  <c r="DF144" i="1"/>
  <c r="DF143" i="1"/>
  <c r="DG143" i="1" s="1"/>
  <c r="DD143" i="1"/>
  <c r="DF142" i="1"/>
  <c r="DG142" i="1" s="1"/>
  <c r="DD142" i="1"/>
  <c r="DF141" i="1"/>
  <c r="DG141" i="1" s="1"/>
  <c r="DD141" i="1"/>
  <c r="DF140" i="1"/>
  <c r="DG140" i="1" s="1"/>
  <c r="DD140" i="1"/>
  <c r="DF139" i="1"/>
  <c r="DG139" i="1" s="1"/>
  <c r="DD139" i="1"/>
  <c r="DF138" i="1"/>
  <c r="DG138" i="1" s="1"/>
  <c r="DD138" i="1"/>
  <c r="DF137" i="1"/>
  <c r="DF136" i="1"/>
  <c r="DG136" i="1" s="1"/>
  <c r="DD136" i="1"/>
  <c r="DF135" i="1"/>
  <c r="DG135" i="1" s="1"/>
  <c r="DD135" i="1"/>
  <c r="DF134" i="1"/>
  <c r="DF133" i="1"/>
  <c r="DG133" i="1" s="1"/>
  <c r="DD133" i="1"/>
  <c r="DF132" i="1"/>
  <c r="DG132" i="1" s="1"/>
  <c r="DD132" i="1"/>
  <c r="DF131" i="1"/>
  <c r="DG131" i="1" s="1"/>
  <c r="DD131" i="1"/>
  <c r="DF130" i="1"/>
  <c r="DG130" i="1" s="1"/>
  <c r="DD130" i="1"/>
  <c r="DF129" i="1"/>
  <c r="DG129" i="1" s="1"/>
  <c r="DD129" i="1"/>
  <c r="DF128" i="1"/>
  <c r="DF127" i="1"/>
  <c r="DG127" i="1" s="1"/>
  <c r="DD127" i="1"/>
  <c r="DF126" i="1"/>
  <c r="DG126" i="1" s="1"/>
  <c r="DD126" i="1"/>
  <c r="DF125" i="1"/>
  <c r="DG125" i="1" s="1"/>
  <c r="DD125" i="1"/>
  <c r="DF124" i="1"/>
  <c r="DG124" i="1" s="1"/>
  <c r="DD124" i="1"/>
  <c r="DF123" i="1"/>
  <c r="DG123" i="1" s="1"/>
  <c r="DD123" i="1"/>
  <c r="DF122" i="1"/>
  <c r="DG122" i="1" s="1"/>
  <c r="DD122" i="1"/>
  <c r="DF121" i="1"/>
  <c r="DG121" i="1" s="1"/>
  <c r="DD121" i="1"/>
  <c r="DF120" i="1"/>
  <c r="DG120" i="1" s="1"/>
  <c r="DD120" i="1"/>
  <c r="DF119" i="1"/>
  <c r="DG119" i="1" s="1"/>
  <c r="DD119" i="1"/>
  <c r="DF118" i="1"/>
  <c r="DG118" i="1" s="1"/>
  <c r="DD118" i="1"/>
  <c r="DF117" i="1"/>
  <c r="DF116" i="1"/>
  <c r="DG116" i="1" s="1"/>
  <c r="DD116" i="1"/>
  <c r="DF115" i="1"/>
  <c r="DG115" i="1" s="1"/>
  <c r="DD115" i="1"/>
  <c r="DF114" i="1"/>
  <c r="DG114" i="1" s="1"/>
  <c r="DD114" i="1"/>
  <c r="DF113" i="1"/>
  <c r="DG113" i="1" s="1"/>
  <c r="DD113" i="1"/>
  <c r="DF112" i="1"/>
  <c r="DG112" i="1" s="1"/>
  <c r="DD112" i="1"/>
  <c r="DF111" i="1"/>
  <c r="DG111" i="1" s="1"/>
  <c r="DD111" i="1"/>
  <c r="DF110" i="1"/>
  <c r="DG110" i="1" s="1"/>
  <c r="DD110" i="1"/>
  <c r="DF109" i="1"/>
  <c r="DF108" i="1"/>
  <c r="DG108" i="1" s="1"/>
  <c r="DD108" i="1"/>
  <c r="DF107" i="1"/>
  <c r="DG107" i="1" s="1"/>
  <c r="DD107" i="1"/>
  <c r="DF106" i="1"/>
  <c r="DG106" i="1" s="1"/>
  <c r="DD106" i="1"/>
  <c r="DF105" i="1"/>
  <c r="DG105" i="1" s="1"/>
  <c r="DD105" i="1"/>
  <c r="DF104" i="1"/>
  <c r="DG104" i="1" s="1"/>
  <c r="DD104" i="1"/>
  <c r="DF103" i="1"/>
  <c r="DG103" i="1" s="1"/>
  <c r="DD103" i="1"/>
  <c r="DF102" i="1"/>
  <c r="DG102" i="1" s="1"/>
  <c r="DD102" i="1"/>
  <c r="DF101" i="1"/>
  <c r="DG101" i="1" s="1"/>
  <c r="DD101" i="1"/>
  <c r="DF100" i="1"/>
  <c r="DG100" i="1" s="1"/>
  <c r="DD100" i="1"/>
  <c r="DF99" i="1"/>
  <c r="DG99" i="1" s="1"/>
  <c r="DD99" i="1"/>
  <c r="DF98" i="1"/>
  <c r="DG98" i="1" s="1"/>
  <c r="DD98" i="1"/>
  <c r="DF97" i="1"/>
  <c r="DG97" i="1" s="1"/>
  <c r="DD97" i="1"/>
  <c r="DF96" i="1"/>
  <c r="DF95" i="1"/>
  <c r="DG95" i="1" s="1"/>
  <c r="DD95" i="1"/>
  <c r="DF94" i="1"/>
  <c r="DG94" i="1" s="1"/>
  <c r="DD94" i="1"/>
  <c r="DF93" i="1"/>
  <c r="DG93" i="1" s="1"/>
  <c r="DD93" i="1"/>
  <c r="DF92" i="1"/>
  <c r="DG92" i="1" s="1"/>
  <c r="DD92" i="1"/>
  <c r="DF91" i="1"/>
  <c r="DG91" i="1" s="1"/>
  <c r="DD91" i="1"/>
  <c r="DF90" i="1"/>
  <c r="DG90" i="1" s="1"/>
  <c r="DD90" i="1"/>
  <c r="DF89" i="1"/>
  <c r="DF88" i="1"/>
  <c r="DG88" i="1" s="1"/>
  <c r="DD88" i="1"/>
  <c r="DF87" i="1"/>
  <c r="DG87" i="1" s="1"/>
  <c r="DD87" i="1"/>
  <c r="DF86" i="1"/>
  <c r="DG86" i="1" s="1"/>
  <c r="DD86" i="1"/>
  <c r="DF85" i="1"/>
  <c r="DG85" i="1" s="1"/>
  <c r="DD85" i="1"/>
  <c r="DF84" i="1"/>
  <c r="DG84" i="1" s="1"/>
  <c r="DD84" i="1"/>
  <c r="DF83" i="1"/>
  <c r="DG83" i="1" s="1"/>
  <c r="DD83" i="1"/>
  <c r="DF82" i="1"/>
  <c r="DG82" i="1" s="1"/>
  <c r="DD82" i="1"/>
  <c r="DF81" i="1"/>
  <c r="DG81" i="1" s="1"/>
  <c r="DD81" i="1"/>
  <c r="DF80" i="1"/>
  <c r="DG80" i="1" s="1"/>
  <c r="DD80" i="1"/>
  <c r="DF79" i="1"/>
  <c r="DG79" i="1" s="1"/>
  <c r="DD79" i="1"/>
  <c r="DF78" i="1"/>
  <c r="DG78" i="1" s="1"/>
  <c r="DD78" i="1"/>
  <c r="DF77" i="1"/>
  <c r="DF76" i="1"/>
  <c r="DG76" i="1" s="1"/>
  <c r="DD76" i="1"/>
  <c r="DF75" i="1"/>
  <c r="DG75" i="1" s="1"/>
  <c r="DD75" i="1"/>
  <c r="DF74" i="1"/>
  <c r="DF73" i="1"/>
  <c r="DG73" i="1" s="1"/>
  <c r="DD73" i="1"/>
  <c r="DF72" i="1"/>
  <c r="DG72" i="1" s="1"/>
  <c r="DD72" i="1"/>
  <c r="DF71" i="1"/>
  <c r="DG71" i="1" s="1"/>
  <c r="DD71" i="1"/>
  <c r="DF70" i="1"/>
  <c r="DG70" i="1" s="1"/>
  <c r="DD70" i="1"/>
  <c r="DF69" i="1"/>
  <c r="DG69" i="1" s="1"/>
  <c r="DD69" i="1"/>
  <c r="DF68" i="1"/>
  <c r="DG68" i="1" s="1"/>
  <c r="DD68" i="1"/>
  <c r="DF67" i="1"/>
  <c r="DG67" i="1" s="1"/>
  <c r="DD67" i="1"/>
  <c r="DF66" i="1"/>
  <c r="DG66" i="1" s="1"/>
  <c r="DD66" i="1"/>
  <c r="DF65" i="1"/>
  <c r="DG65" i="1" s="1"/>
  <c r="DD65" i="1"/>
  <c r="DF64" i="1"/>
  <c r="DF63" i="1"/>
  <c r="DG63" i="1" s="1"/>
  <c r="DD63" i="1"/>
  <c r="DF62" i="1"/>
  <c r="DG62" i="1" s="1"/>
  <c r="DD62" i="1"/>
  <c r="DF61" i="1"/>
  <c r="DG61" i="1" s="1"/>
  <c r="DD61" i="1"/>
  <c r="DF60" i="1"/>
  <c r="DG60" i="1" s="1"/>
  <c r="DD60" i="1"/>
  <c r="DF59" i="1"/>
  <c r="DG59" i="1" s="1"/>
  <c r="DD59" i="1"/>
  <c r="DF58" i="1"/>
  <c r="DG58" i="1" s="1"/>
  <c r="DD58" i="1"/>
  <c r="DF57" i="1"/>
  <c r="DG57" i="1" s="1"/>
  <c r="DD57" i="1"/>
  <c r="DF56" i="1"/>
  <c r="DG56" i="1" s="1"/>
  <c r="DD56" i="1"/>
  <c r="DF55" i="1"/>
  <c r="DG55" i="1" s="1"/>
  <c r="DD55" i="1"/>
  <c r="DF54" i="1"/>
  <c r="DG54" i="1" s="1"/>
  <c r="DD54" i="1"/>
  <c r="DF53" i="1"/>
  <c r="DG53" i="1" s="1"/>
  <c r="DD53" i="1"/>
  <c r="DF52" i="1"/>
  <c r="DG52" i="1" s="1"/>
  <c r="DD52" i="1"/>
  <c r="DF51" i="1"/>
  <c r="DG51" i="1" s="1"/>
  <c r="DD51" i="1"/>
  <c r="DF50" i="1"/>
  <c r="DF49" i="1"/>
  <c r="DG49" i="1" s="1"/>
  <c r="DD49" i="1"/>
  <c r="DF47" i="1"/>
  <c r="DG47" i="1" s="1"/>
  <c r="DD47" i="1"/>
  <c r="DF46" i="1"/>
  <c r="DG46" i="1" s="1"/>
  <c r="DD46" i="1"/>
  <c r="DF45" i="1"/>
  <c r="DG45" i="1" s="1"/>
  <c r="DD45" i="1"/>
  <c r="DF44" i="1"/>
  <c r="DG44" i="1" s="1"/>
  <c r="DD44" i="1"/>
  <c r="DF43" i="1"/>
  <c r="DG43" i="1" s="1"/>
  <c r="DD43" i="1"/>
  <c r="DF42" i="1"/>
  <c r="DG42" i="1" s="1"/>
  <c r="DD42" i="1"/>
  <c r="DF41" i="1"/>
  <c r="DG41" i="1" s="1"/>
  <c r="DD41" i="1"/>
  <c r="DF40" i="1"/>
  <c r="DG40" i="1" s="1"/>
  <c r="DD40" i="1"/>
  <c r="DF39" i="1"/>
  <c r="DG39" i="1" s="1"/>
  <c r="DD39" i="1"/>
  <c r="DF38" i="1"/>
  <c r="DG38" i="1" s="1"/>
  <c r="DD38" i="1"/>
  <c r="DF37" i="1"/>
  <c r="DF36" i="1"/>
  <c r="DG36" i="1" s="1"/>
  <c r="DD36" i="1"/>
  <c r="DF35" i="1"/>
  <c r="DG35" i="1" s="1"/>
  <c r="DD35" i="1"/>
  <c r="DF34" i="1"/>
  <c r="DG34" i="1" s="1"/>
  <c r="DD34" i="1"/>
  <c r="DF33" i="1"/>
  <c r="DG33" i="1" s="1"/>
  <c r="DD33" i="1"/>
  <c r="DF32" i="1"/>
  <c r="DG32" i="1" s="1"/>
  <c r="DD32" i="1"/>
  <c r="DF31" i="1"/>
  <c r="DG31" i="1" s="1"/>
  <c r="DD31" i="1"/>
  <c r="DF30" i="1"/>
  <c r="DG30" i="1" s="1"/>
  <c r="DD30" i="1"/>
  <c r="DF29" i="1"/>
  <c r="DG29" i="1" s="1"/>
  <c r="DD29" i="1"/>
  <c r="DF28" i="1"/>
  <c r="DG28" i="1" s="1"/>
  <c r="DD28" i="1"/>
  <c r="DF27" i="1"/>
  <c r="DF26" i="1"/>
  <c r="DG26" i="1" s="1"/>
  <c r="DD26" i="1"/>
  <c r="DF25" i="1"/>
  <c r="DG25" i="1" s="1"/>
  <c r="DD25" i="1"/>
  <c r="DF24" i="1"/>
  <c r="DG24" i="1" s="1"/>
  <c r="DD24" i="1"/>
  <c r="DF23" i="1"/>
  <c r="DG23" i="1" s="1"/>
  <c r="DD23" i="1"/>
  <c r="DF22" i="1"/>
  <c r="DG22" i="1" s="1"/>
  <c r="DD22" i="1"/>
  <c r="DF21" i="1"/>
  <c r="DG21" i="1" s="1"/>
  <c r="DD21" i="1"/>
  <c r="DF20" i="1"/>
  <c r="DF19" i="1"/>
  <c r="DG19" i="1" s="1"/>
  <c r="DD19" i="1"/>
  <c r="DF18" i="1"/>
  <c r="DG18" i="1" s="1"/>
  <c r="DD18" i="1"/>
  <c r="DF17" i="1"/>
  <c r="DG17" i="1" s="1"/>
  <c r="DD17" i="1"/>
  <c r="DF16" i="1"/>
  <c r="DF15" i="1"/>
  <c r="DG15" i="1" s="1"/>
  <c r="DD15" i="1"/>
  <c r="DF14" i="1"/>
  <c r="DG14" i="1" s="1"/>
  <c r="DD14" i="1"/>
  <c r="DF13" i="1"/>
  <c r="DF12" i="1"/>
  <c r="DG12" i="1" s="1"/>
  <c r="DD12" i="1"/>
  <c r="DF11" i="1"/>
  <c r="DG11" i="1" s="1"/>
  <c r="DD11" i="1"/>
  <c r="DF10" i="1"/>
  <c r="DG10" i="1" s="1"/>
  <c r="DD10" i="1"/>
  <c r="DF9" i="1"/>
  <c r="DG9" i="1" s="1"/>
  <c r="DD9" i="1"/>
  <c r="DF8" i="1"/>
  <c r="DG8" i="1" s="1"/>
  <c r="DD8" i="1"/>
  <c r="DF7" i="1"/>
  <c r="DG7" i="1" s="1"/>
  <c r="DD7" i="1"/>
  <c r="DF6" i="1"/>
  <c r="DG6" i="1" s="1"/>
  <c r="DD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L6" authorId="0" shapeId="0" xr:uid="{00000000-0006-0000-0000-00000C000000}">
      <text>
        <r>
          <rPr>
            <sz val="10"/>
            <rFont val="Arial"/>
            <family val="2"/>
          </rPr>
          <t>0
(5,000 USD minimum deposit)</t>
        </r>
      </text>
    </comment>
    <comment ref="AZ6" authorId="0" shapeId="0" xr:uid="{00000000-0006-0000-0000-0000EF000000}">
      <text>
        <r>
          <rPr>
            <sz val="10"/>
            <rFont val="Arial"/>
            <family val="2"/>
          </rPr>
          <t>USD 350
+ USD 400 (initial government registration fee, per GRP 2026)</t>
        </r>
      </text>
    </comment>
    <comment ref="AL7" authorId="0" shapeId="0" xr:uid="{00000000-0006-0000-0000-00000D000000}">
      <text>
        <r>
          <rPr>
            <sz val="10"/>
            <rFont val="Arial"/>
            <family val="2"/>
          </rPr>
          <t>0
(5,000 USD minimum deposit)</t>
        </r>
      </text>
    </comment>
    <comment ref="AL8" authorId="0" shapeId="0" xr:uid="{00000000-0006-0000-0000-00000E000000}">
      <text>
        <r>
          <rPr>
            <sz val="10"/>
            <rFont val="Arial"/>
            <family val="2"/>
          </rPr>
          <t>0
(5,000 USD minimum deposit)</t>
        </r>
      </text>
    </comment>
    <comment ref="AL9" authorId="0" shapeId="0" xr:uid="{00000000-0006-0000-0000-00000F000000}">
      <text>
        <r>
          <rPr>
            <sz val="10"/>
            <rFont val="Arial"/>
            <family val="2"/>
          </rPr>
          <t>0
(5,000 USD minimum deposit)</t>
        </r>
      </text>
    </comment>
    <comment ref="AL10" authorId="0" shapeId="0" xr:uid="{00000000-0006-0000-0000-000010000000}">
      <text>
        <r>
          <rPr>
            <sz val="10"/>
            <rFont val="Arial"/>
            <family val="2"/>
          </rPr>
          <t>0
(5,000 USD minimum deposit)</t>
        </r>
      </text>
    </comment>
    <comment ref="AL11" authorId="0" shapeId="0" xr:uid="{00000000-0006-0000-0000-000011000000}">
      <text>
        <r>
          <rPr>
            <sz val="10"/>
            <rFont val="Arial"/>
            <family val="2"/>
          </rPr>
          <t>0
(5,000 USD minimum deposit)</t>
        </r>
      </text>
    </comment>
    <comment ref="AL12" authorId="0" shapeId="0" xr:uid="{00000000-0006-0000-0000-000012000000}">
      <text>
        <r>
          <rPr>
            <sz val="10"/>
            <rFont val="Arial"/>
            <family val="2"/>
          </rPr>
          <t>0
(5,000 USD minimum deposit)</t>
        </r>
      </text>
    </comment>
    <comment ref="AL14" authorId="0" shapeId="0" xr:uid="{00000000-0006-0000-0000-000013000000}">
      <text>
        <r>
          <rPr>
            <sz val="10"/>
            <rFont val="Arial"/>
            <family val="2"/>
          </rPr>
          <t>0
(5,000 USD minimum deposit)</t>
        </r>
      </text>
    </comment>
    <comment ref="AL15" authorId="0" shapeId="0" xr:uid="{00000000-0006-0000-0000-000014000000}">
      <text>
        <r>
          <rPr>
            <sz val="10"/>
            <rFont val="Arial"/>
            <family val="2"/>
          </rPr>
          <t>0
(5,000 USD minimum deposit)</t>
        </r>
      </text>
    </comment>
    <comment ref="AD17" authorId="0" shapeId="0" xr:uid="{00000000-0006-0000-0000-000001000000}">
      <text>
        <r>
          <rPr>
            <sz val="10"/>
            <rFont val="Arial"/>
            <family val="2"/>
          </rPr>
          <t>Incorporation USD 5,000 &amp; Annual administration USD 1600</t>
        </r>
      </text>
    </comment>
    <comment ref="AH17" authorId="0" shapeId="0" xr:uid="{00000000-0006-0000-0000-000007000000}">
      <text>
        <r>
          <rPr>
            <sz val="10"/>
            <rFont val="Arial"/>
            <family val="2"/>
          </rPr>
          <t>USD 500 (Mandatory)</t>
        </r>
      </text>
    </comment>
    <comment ref="AL17" authorId="0" shapeId="0" xr:uid="{00000000-0006-0000-0000-000015000000}">
      <text>
        <r>
          <rPr>
            <sz val="10"/>
            <rFont val="Arial"/>
            <family val="2"/>
          </rPr>
          <t>0
(5,000 USD minimum deposit)</t>
        </r>
      </text>
    </comment>
    <comment ref="AN17" authorId="0" shapeId="0" xr:uid="{00000000-0006-0000-0000-0000E6000000}">
      <text>
        <r>
          <rPr>
            <sz val="10"/>
            <rFont val="Arial"/>
            <family val="2"/>
          </rPr>
          <t>Coordination fee for support in opening a bank account USD 2,000</t>
        </r>
      </text>
    </comment>
    <comment ref="AZ17" authorId="0" shapeId="0" xr:uid="{00000000-0006-0000-0000-0000F0000000}">
      <text>
        <r>
          <rPr>
            <sz val="10"/>
            <rFont val="Arial"/>
            <family val="2"/>
          </rPr>
          <t>USD 1,900
+ USD 1,500 (government annual authority, 2nd yr onwards, per GRP 2026)</t>
        </r>
      </text>
    </comment>
    <comment ref="AH18" authorId="0" shapeId="0" xr:uid="{00000000-0006-0000-0000-000008000000}">
      <text>
        <r>
          <rPr>
            <sz val="10"/>
            <rFont val="Arial"/>
            <family val="2"/>
          </rPr>
          <t>USD 500 (Mandatory)</t>
        </r>
      </text>
    </comment>
    <comment ref="AL18" authorId="0" shapeId="0" xr:uid="{00000000-0006-0000-0000-000016000000}">
      <text>
        <r>
          <rPr>
            <sz val="10"/>
            <rFont val="Arial"/>
            <family val="2"/>
          </rPr>
          <t>0
(5,000 USD minimum deposit)</t>
        </r>
      </text>
    </comment>
    <comment ref="AN18" authorId="0" shapeId="0" xr:uid="{00000000-0006-0000-0000-0000E7000000}">
      <text>
        <r>
          <rPr>
            <sz val="10"/>
            <rFont val="Arial"/>
            <family val="2"/>
          </rPr>
          <t>Coordination fee for support in opening a bank account USD 2,000</t>
        </r>
      </text>
    </comment>
    <comment ref="AZ18" authorId="0" shapeId="0" xr:uid="{00000000-0006-0000-0000-0000F1000000}">
      <text>
        <r>
          <rPr>
            <sz val="10"/>
            <rFont val="Arial"/>
            <family val="2"/>
          </rPr>
          <t>USD 5,800 excluding establishment card and echannel registration
GRP 2026: USD 1,500</t>
        </r>
      </text>
    </comment>
    <comment ref="AH19" authorId="0" shapeId="0" xr:uid="{00000000-0006-0000-0000-000009000000}">
      <text>
        <r>
          <rPr>
            <sz val="10"/>
            <rFont val="Arial"/>
            <family val="2"/>
          </rPr>
          <t>USD 500 (Mandatory)</t>
        </r>
      </text>
    </comment>
    <comment ref="AL19" authorId="0" shapeId="0" xr:uid="{00000000-0006-0000-0000-000017000000}">
      <text>
        <r>
          <rPr>
            <sz val="10"/>
            <rFont val="Arial"/>
            <family val="2"/>
          </rPr>
          <t>0
(5,000 USD minimum deposit)</t>
        </r>
      </text>
    </comment>
    <comment ref="AN19" authorId="0" shapeId="0" xr:uid="{00000000-0006-0000-0000-0000E8000000}">
      <text>
        <r>
          <rPr>
            <sz val="10"/>
            <rFont val="Arial"/>
            <family val="2"/>
          </rPr>
          <t>Coordination fee for support in opening a bank account USD 2,000</t>
        </r>
      </text>
    </comment>
    <comment ref="AZ19" authorId="0" shapeId="0" xr:uid="{00000000-0006-0000-0000-0000F2000000}">
      <text>
        <r>
          <rPr>
            <sz val="10"/>
            <rFont val="Arial"/>
            <family val="2"/>
          </rPr>
          <t>USD 1000
+ USD 500 (government annual authority, 2nd yr onwards, per GRP 2026)</t>
        </r>
      </text>
    </comment>
    <comment ref="AL21" authorId="0" shapeId="0" xr:uid="{00000000-0006-0000-0000-000018000000}">
      <text>
        <r>
          <rPr>
            <sz val="10"/>
            <rFont val="Arial"/>
            <family val="2"/>
          </rPr>
          <t>0
(5,000 USD minimum deposit)</t>
        </r>
      </text>
    </comment>
    <comment ref="AL22" authorId="0" shapeId="0" xr:uid="{00000000-0006-0000-0000-000019000000}">
      <text>
        <r>
          <rPr>
            <sz val="10"/>
            <rFont val="Arial"/>
            <family val="2"/>
          </rPr>
          <t>0
(5,000 USD minimum deposit)</t>
        </r>
      </text>
    </comment>
    <comment ref="AL23" authorId="0" shapeId="0" xr:uid="{00000000-0006-0000-0000-00001A000000}">
      <text>
        <r>
          <rPr>
            <sz val="10"/>
            <rFont val="Arial"/>
            <family val="2"/>
          </rPr>
          <t>0
(5,000 USD minimum deposit)</t>
        </r>
      </text>
    </comment>
    <comment ref="AL24" authorId="0" shapeId="0" xr:uid="{00000000-0006-0000-0000-00001B000000}">
      <text>
        <r>
          <rPr>
            <sz val="10"/>
            <rFont val="Arial"/>
            <family val="2"/>
          </rPr>
          <t>0
(5,000 USD minimum deposit)</t>
        </r>
      </text>
    </comment>
    <comment ref="AL25" authorId="0" shapeId="0" xr:uid="{00000000-0006-0000-0000-00001C000000}">
      <text>
        <r>
          <rPr>
            <sz val="10"/>
            <rFont val="Arial"/>
            <family val="2"/>
          </rPr>
          <t>0
(5,000 USD minimum deposit)</t>
        </r>
      </text>
    </comment>
    <comment ref="AL26" authorId="0" shapeId="0" xr:uid="{00000000-0006-0000-0000-00001D000000}">
      <text>
        <r>
          <rPr>
            <sz val="10"/>
            <rFont val="Arial"/>
            <family val="2"/>
          </rPr>
          <t>0
(5,000 USD minimum deposit)</t>
        </r>
      </text>
    </comment>
    <comment ref="AL28" authorId="0" shapeId="0" xr:uid="{00000000-0006-0000-0000-00001E000000}">
      <text>
        <r>
          <rPr>
            <sz val="10"/>
            <rFont val="Arial"/>
            <family val="2"/>
          </rPr>
          <t>0
(5,000 USD minimum deposit)</t>
        </r>
      </text>
    </comment>
    <comment ref="AL29" authorId="0" shapeId="0" xr:uid="{00000000-0006-0000-0000-00001F000000}">
      <text>
        <r>
          <rPr>
            <sz val="10"/>
            <rFont val="Arial"/>
            <family val="2"/>
          </rPr>
          <t>0
(5,000 USD minimum deposit)</t>
        </r>
      </text>
    </comment>
    <comment ref="AL30" authorId="0" shapeId="0" xr:uid="{00000000-0006-0000-0000-000020000000}">
      <text>
        <r>
          <rPr>
            <sz val="10"/>
            <rFont val="Arial"/>
            <family val="2"/>
          </rPr>
          <t>0
(5,000 USD minimum deposit)</t>
        </r>
      </text>
    </comment>
    <comment ref="AL31" authorId="0" shapeId="0" xr:uid="{00000000-0006-0000-0000-000021000000}">
      <text>
        <r>
          <rPr>
            <sz val="10"/>
            <rFont val="Arial"/>
            <family val="2"/>
          </rPr>
          <t>0
(5,000 USD minimum deposit)</t>
        </r>
      </text>
    </comment>
    <comment ref="BD31" authorId="0" shapeId="0" xr:uid="{00000000-0006-0000-0000-0000F7000000}">
      <text>
        <r>
          <rPr>
            <sz val="10"/>
            <rFont val="Arial"/>
            <family val="2"/>
          </rPr>
          <t>USD 1,300 (preparation of financial statements –)
USD 1,500 (preparation of financial statements –)</t>
        </r>
      </text>
    </comment>
    <comment ref="AL32" authorId="0" shapeId="0" xr:uid="{00000000-0006-0000-0000-000022000000}">
      <text>
        <r>
          <rPr>
            <sz val="10"/>
            <rFont val="Arial"/>
            <family val="2"/>
          </rPr>
          <t>0
(5,000 USD minimum deposit)</t>
        </r>
      </text>
    </comment>
    <comment ref="AL33" authorId="0" shapeId="0" xr:uid="{00000000-0006-0000-0000-000023000000}">
      <text>
        <r>
          <rPr>
            <sz val="10"/>
            <rFont val="Arial"/>
            <family val="2"/>
          </rPr>
          <t>0
(5,000 USD minimum deposit)</t>
        </r>
      </text>
    </comment>
    <comment ref="AL34" authorId="0" shapeId="0" xr:uid="{00000000-0006-0000-0000-000024000000}">
      <text>
        <r>
          <rPr>
            <sz val="10"/>
            <rFont val="Arial"/>
            <family val="2"/>
          </rPr>
          <t>0
(5,000 USD minimum deposit)</t>
        </r>
      </text>
    </comment>
    <comment ref="AL35" authorId="0" shapeId="0" xr:uid="{00000000-0006-0000-0000-000025000000}">
      <text>
        <r>
          <rPr>
            <sz val="10"/>
            <rFont val="Arial"/>
            <family val="2"/>
          </rPr>
          <t>0
(5,000 USD minimum deposit)</t>
        </r>
      </text>
    </comment>
    <comment ref="AL36" authorId="0" shapeId="0" xr:uid="{00000000-0006-0000-0000-000026000000}">
      <text>
        <r>
          <rPr>
            <sz val="10"/>
            <rFont val="Arial"/>
            <family val="2"/>
          </rPr>
          <t>0
(5,000 USD minimum deposit)</t>
        </r>
      </text>
    </comment>
    <comment ref="AL38" authorId="0" shapeId="0" xr:uid="{00000000-0006-0000-0000-000027000000}">
      <text>
        <r>
          <rPr>
            <sz val="10"/>
            <rFont val="Arial"/>
            <family val="2"/>
          </rPr>
          <t>0
(5,000 USD minimum deposit)</t>
        </r>
      </text>
    </comment>
    <comment ref="AL39" authorId="0" shapeId="0" xr:uid="{00000000-0006-0000-0000-000028000000}">
      <text>
        <r>
          <rPr>
            <sz val="10"/>
            <rFont val="Arial"/>
            <family val="2"/>
          </rPr>
          <t>0
(5,000 USD minimum deposit)</t>
        </r>
      </text>
    </comment>
    <comment ref="AL40" authorId="0" shapeId="0" xr:uid="{00000000-0006-0000-0000-000029000000}">
      <text>
        <r>
          <rPr>
            <sz val="10"/>
            <rFont val="Arial"/>
            <family val="2"/>
          </rPr>
          <t>0
(5,000 USD minimum deposit)</t>
        </r>
      </text>
    </comment>
    <comment ref="AL41" authorId="0" shapeId="0" xr:uid="{00000000-0006-0000-0000-00002A000000}">
      <text>
        <r>
          <rPr>
            <sz val="10"/>
            <rFont val="Arial"/>
            <family val="2"/>
          </rPr>
          <t>0
(5,000 USD minimum deposit)</t>
        </r>
      </text>
    </comment>
    <comment ref="AL42" authorId="0" shapeId="0" xr:uid="{00000000-0006-0000-0000-00002B000000}">
      <text>
        <r>
          <rPr>
            <sz val="10"/>
            <rFont val="Arial"/>
            <family val="2"/>
          </rPr>
          <t>0
(5,000 USD minimum deposit)</t>
        </r>
      </text>
    </comment>
    <comment ref="AL43" authorId="0" shapeId="0" xr:uid="{00000000-0006-0000-0000-00002C000000}">
      <text>
        <r>
          <rPr>
            <sz val="10"/>
            <rFont val="Arial"/>
            <family val="2"/>
          </rPr>
          <t>0
(5,000 USD minimum deposit)</t>
        </r>
      </text>
    </comment>
    <comment ref="AL44" authorId="0" shapeId="0" xr:uid="{00000000-0006-0000-0000-00002D000000}">
      <text>
        <r>
          <rPr>
            <sz val="10"/>
            <rFont val="Arial"/>
            <family val="2"/>
          </rPr>
          <t>0
(5,000 USD minimum deposit)</t>
        </r>
      </text>
    </comment>
    <comment ref="AL45" authorId="0" shapeId="0" xr:uid="{00000000-0006-0000-0000-00002E000000}">
      <text>
        <r>
          <rPr>
            <sz val="10"/>
            <rFont val="Arial"/>
            <family val="2"/>
          </rPr>
          <t>0
(5,000 USD minimum deposit)</t>
        </r>
      </text>
    </comment>
    <comment ref="AL46" authorId="0" shapeId="0" xr:uid="{00000000-0006-0000-0000-00002F000000}">
      <text>
        <r>
          <rPr>
            <sz val="10"/>
            <rFont val="Arial"/>
            <family val="2"/>
          </rPr>
          <t>0
(5,000 USD minimum deposit)</t>
        </r>
      </text>
    </comment>
    <comment ref="AJ51" authorId="0" shapeId="0" xr:uid="{00000000-0006-0000-0000-00000A000000}">
      <text>
        <r>
          <rPr>
            <sz val="10"/>
            <rFont val="Arial"/>
            <family val="2"/>
          </rPr>
          <t>USD 150 (beneficial owner register filed with)
USD 175 (beneficial owner register classification)</t>
        </r>
      </text>
    </comment>
    <comment ref="AL51" authorId="0" shapeId="0" xr:uid="{00000000-0006-0000-0000-000030000000}">
      <text>
        <r>
          <rPr>
            <sz val="10"/>
            <rFont val="Arial"/>
            <family val="2"/>
          </rPr>
          <t>0
(5,000 USD minimum deposit)</t>
        </r>
      </text>
    </comment>
    <comment ref="AL52" authorId="0" shapeId="0" xr:uid="{00000000-0006-0000-0000-000031000000}">
      <text>
        <r>
          <rPr>
            <sz val="10"/>
            <rFont val="Arial"/>
            <family val="2"/>
          </rPr>
          <t>0
(5,000 USD minimum deposit)</t>
        </r>
      </text>
    </comment>
    <comment ref="AL53" authorId="0" shapeId="0" xr:uid="{00000000-0006-0000-0000-000032000000}">
      <text>
        <r>
          <rPr>
            <sz val="10"/>
            <rFont val="Arial"/>
            <family val="2"/>
          </rPr>
          <t>0
(5,000 USD minimum deposit)</t>
        </r>
      </text>
    </comment>
    <comment ref="AJ54" authorId="0" shapeId="0" xr:uid="{00000000-0006-0000-0000-00000B000000}">
      <text>
        <r>
          <rPr>
            <sz val="10"/>
            <rFont val="Arial"/>
            <family val="2"/>
          </rPr>
          <t>USD 175–250 (AUM-tiered) (ubo classification)
USD 130 (ubo registry)
USD 440 (beneficial owner register filed with)</t>
        </r>
      </text>
    </comment>
    <comment ref="AL54" authorId="0" shapeId="0" xr:uid="{00000000-0006-0000-0000-000033000000}">
      <text>
        <r>
          <rPr>
            <sz val="10"/>
            <rFont val="Arial"/>
            <family val="2"/>
          </rPr>
          <t>0
(5,000 USD minimum deposit)</t>
        </r>
      </text>
    </comment>
    <comment ref="AL55" authorId="0" shapeId="0" xr:uid="{00000000-0006-0000-0000-000034000000}">
      <text>
        <r>
          <rPr>
            <sz val="10"/>
            <rFont val="Arial"/>
            <family val="2"/>
          </rPr>
          <t>0
(5,000 USD minimum deposit)</t>
        </r>
      </text>
    </comment>
    <comment ref="AL56" authorId="0" shapeId="0" xr:uid="{00000000-0006-0000-0000-000035000000}">
      <text>
        <r>
          <rPr>
            <sz val="10"/>
            <rFont val="Arial"/>
            <family val="2"/>
          </rPr>
          <t>0
(5,000 USD minimum deposit)</t>
        </r>
      </text>
    </comment>
    <comment ref="AL57" authorId="0" shapeId="0" xr:uid="{00000000-0006-0000-0000-000036000000}">
      <text>
        <r>
          <rPr>
            <sz val="10"/>
            <rFont val="Arial"/>
            <family val="2"/>
          </rPr>
          <t>0
(5,000 USD minimum deposit)</t>
        </r>
      </text>
    </comment>
    <comment ref="CB58" authorId="0" shapeId="0" xr:uid="{00000000-0006-0000-0000-000013010000}">
      <text>
        <r>
          <rPr>
            <sz val="10"/>
            <rFont val="Arial"/>
            <family val="2"/>
          </rPr>
          <t>0.45% AUA p.a.
(min 24k p.a)</t>
        </r>
      </text>
    </comment>
    <comment ref="AL59" authorId="0" shapeId="0" xr:uid="{00000000-0006-0000-0000-000037000000}">
      <text>
        <r>
          <rPr>
            <sz val="10"/>
            <rFont val="Arial"/>
            <family val="2"/>
          </rPr>
          <t>0
(5,000 USD minimum deposit)</t>
        </r>
      </text>
    </comment>
    <comment ref="AL60" authorId="0" shapeId="0" xr:uid="{00000000-0006-0000-0000-000038000000}">
      <text>
        <r>
          <rPr>
            <sz val="10"/>
            <rFont val="Arial"/>
            <family val="2"/>
          </rPr>
          <t>0
(5,000 USD minimum deposit)</t>
        </r>
      </text>
    </comment>
    <comment ref="AL61" authorId="0" shapeId="0" xr:uid="{00000000-0006-0000-0000-000039000000}">
      <text>
        <r>
          <rPr>
            <sz val="10"/>
            <rFont val="Arial"/>
            <family val="2"/>
          </rPr>
          <t>0
(5,000 USD minimum deposit)</t>
        </r>
      </text>
    </comment>
    <comment ref="AL62" authorId="0" shapeId="0" xr:uid="{00000000-0006-0000-0000-00003A000000}">
      <text>
        <r>
          <rPr>
            <sz val="10"/>
            <rFont val="Arial"/>
            <family val="2"/>
          </rPr>
          <t>0
(5,000 USD minimum deposit)</t>
        </r>
      </text>
    </comment>
    <comment ref="AL63" authorId="0" shapeId="0" xr:uid="{00000000-0006-0000-0000-00003B000000}">
      <text>
        <r>
          <rPr>
            <sz val="10"/>
            <rFont val="Arial"/>
            <family val="2"/>
          </rPr>
          <t>0
(5,000 USD minimum deposit)</t>
        </r>
      </text>
    </comment>
    <comment ref="AL65" authorId="0" shapeId="0" xr:uid="{00000000-0006-0000-0000-00003C000000}">
      <text>
        <r>
          <rPr>
            <sz val="10"/>
            <rFont val="Arial"/>
            <family val="2"/>
          </rPr>
          <t>0
(5,000 USD minimum deposit)</t>
        </r>
      </text>
    </comment>
    <comment ref="BD65" authorId="0" shapeId="0" xr:uid="{00000000-0006-0000-0000-0000F8000000}">
      <text>
        <r>
          <rPr>
            <sz val="10"/>
            <rFont val="Arial"/>
            <family val="2"/>
          </rPr>
          <t>USD From 1,500</t>
        </r>
      </text>
    </comment>
    <comment ref="BF65" authorId="0" shapeId="0" xr:uid="{00000000-0006-0000-0000-0000FE000000}">
      <text>
        <r>
          <rPr>
            <sz val="10"/>
            <rFont val="Arial"/>
            <family val="2"/>
          </rPr>
          <t>USD From 1,500 (preparation of profit tax returns)
USD From 1,500 (annual tax and regulatory reporting)
USD From 1,500 (monthly tax and regulatory reporting)</t>
        </r>
      </text>
    </comment>
    <comment ref="AL66" authorId="0" shapeId="0" xr:uid="{00000000-0006-0000-0000-00003D000000}">
      <text>
        <r>
          <rPr>
            <sz val="10"/>
            <rFont val="Arial"/>
            <family val="2"/>
          </rPr>
          <t>0
(5,000 USD minimum deposit)</t>
        </r>
      </text>
    </comment>
    <comment ref="BD66" authorId="0" shapeId="0" xr:uid="{00000000-0006-0000-0000-0000F9000000}">
      <text>
        <r>
          <rPr>
            <sz val="10"/>
            <rFont val="Arial"/>
            <family val="2"/>
          </rPr>
          <t>USD From 1,500</t>
        </r>
      </text>
    </comment>
    <comment ref="BF66" authorId="0" shapeId="0" xr:uid="{00000000-0006-0000-0000-0000FF000000}">
      <text>
        <r>
          <rPr>
            <sz val="10"/>
            <rFont val="Arial"/>
            <family val="2"/>
          </rPr>
          <t>USD From 1,500 (preparation of profit tax returns)
USD From 1,500 (annual tax and regulatory reporting)
USD From 1,500 (monthly tax and regulatory reporting)</t>
        </r>
      </text>
    </comment>
    <comment ref="AL67" authorId="0" shapeId="0" xr:uid="{00000000-0006-0000-0000-00003E000000}">
      <text>
        <r>
          <rPr>
            <sz val="10"/>
            <rFont val="Arial"/>
            <family val="2"/>
          </rPr>
          <t>0
(5,000 USD minimum deposit)</t>
        </r>
      </text>
    </comment>
    <comment ref="AL68" authorId="0" shapeId="0" xr:uid="{00000000-0006-0000-0000-00003F000000}">
      <text>
        <r>
          <rPr>
            <sz val="10"/>
            <rFont val="Arial"/>
            <family val="2"/>
          </rPr>
          <t>0
(5,000 USD minimum deposit)</t>
        </r>
      </text>
    </comment>
    <comment ref="AL69" authorId="0" shapeId="0" xr:uid="{00000000-0006-0000-0000-000040000000}">
      <text>
        <r>
          <rPr>
            <sz val="10"/>
            <rFont val="Arial"/>
            <family val="2"/>
          </rPr>
          <t>0
(5,000 USD minimum deposit)</t>
        </r>
      </text>
    </comment>
    <comment ref="AL70" authorId="0" shapeId="0" xr:uid="{00000000-0006-0000-0000-000041000000}">
      <text>
        <r>
          <rPr>
            <sz val="10"/>
            <rFont val="Arial"/>
            <family val="2"/>
          </rPr>
          <t>0
(5,000 USD minimum deposit)</t>
        </r>
      </text>
    </comment>
    <comment ref="AL71" authorId="0" shapeId="0" xr:uid="{00000000-0006-0000-0000-000042000000}">
      <text>
        <r>
          <rPr>
            <sz val="10"/>
            <rFont val="Arial"/>
            <family val="2"/>
          </rPr>
          <t>0
(5,000 USD minimum deposit)</t>
        </r>
      </text>
    </comment>
    <comment ref="AL72" authorId="0" shapeId="0" xr:uid="{00000000-0006-0000-0000-000043000000}">
      <text>
        <r>
          <rPr>
            <sz val="10"/>
            <rFont val="Arial"/>
            <family val="2"/>
          </rPr>
          <t>0
(5,000 USD minimum deposit)</t>
        </r>
      </text>
    </comment>
    <comment ref="AL73" authorId="0" shapeId="0" xr:uid="{00000000-0006-0000-0000-000044000000}">
      <text>
        <r>
          <rPr>
            <sz val="10"/>
            <rFont val="Arial"/>
            <family val="2"/>
          </rPr>
          <t>0
(5,000 USD minimum deposit)</t>
        </r>
      </text>
    </comment>
    <comment ref="AL75" authorId="0" shapeId="0" xr:uid="{00000000-0006-0000-0000-000045000000}">
      <text>
        <r>
          <rPr>
            <sz val="10"/>
            <rFont val="Arial"/>
            <family val="2"/>
          </rPr>
          <t>0
(5,000 USD minimum deposit)</t>
        </r>
      </text>
    </comment>
    <comment ref="AL76" authorId="0" shapeId="0" xr:uid="{00000000-0006-0000-0000-000046000000}">
      <text>
        <r>
          <rPr>
            <sz val="10"/>
            <rFont val="Arial"/>
            <family val="2"/>
          </rPr>
          <t>0
(5,000 USD minimum deposit)</t>
        </r>
      </text>
    </comment>
    <comment ref="AL78" authorId="0" shapeId="0" xr:uid="{00000000-0006-0000-0000-000047000000}">
      <text>
        <r>
          <rPr>
            <sz val="10"/>
            <rFont val="Arial"/>
            <family val="2"/>
          </rPr>
          <t>0
(5,000 USD minimum deposit)</t>
        </r>
      </text>
    </comment>
    <comment ref="BF78" authorId="0" shapeId="0" xr:uid="{00000000-0006-0000-0000-000000010000}">
      <text>
        <r>
          <rPr>
            <sz val="10"/>
            <rFont val="Arial"/>
            <family val="2"/>
          </rPr>
          <t>USD 500
+ USD 250 (preparation of profit tax returns, per GRP 2026)</t>
        </r>
      </text>
    </comment>
    <comment ref="AL79" authorId="0" shapeId="0" xr:uid="{00000000-0006-0000-0000-000048000000}">
      <text>
        <r>
          <rPr>
            <sz val="10"/>
            <rFont val="Arial"/>
            <family val="2"/>
          </rPr>
          <t>0
(5,000 USD minimum deposit)</t>
        </r>
      </text>
    </comment>
    <comment ref="AL80" authorId="0" shapeId="0" xr:uid="{00000000-0006-0000-0000-000049000000}">
      <text>
        <r>
          <rPr>
            <sz val="10"/>
            <rFont val="Arial"/>
            <family val="2"/>
          </rPr>
          <t>0
(5,000 USD minimum deposit)</t>
        </r>
      </text>
    </comment>
    <comment ref="AL81" authorId="0" shapeId="0" xr:uid="{00000000-0006-0000-0000-00004A000000}">
      <text>
        <r>
          <rPr>
            <sz val="10"/>
            <rFont val="Arial"/>
            <family val="2"/>
          </rPr>
          <t>0
(5,000 USD minimum deposit)</t>
        </r>
      </text>
    </comment>
    <comment ref="AL82" authorId="0" shapeId="0" xr:uid="{00000000-0006-0000-0000-00004B000000}">
      <text>
        <r>
          <rPr>
            <sz val="10"/>
            <rFont val="Arial"/>
            <family val="2"/>
          </rPr>
          <t>0
(5,000 USD minimum deposit)</t>
        </r>
      </text>
    </comment>
    <comment ref="AL83" authorId="0" shapeId="0" xr:uid="{00000000-0006-0000-0000-00004C000000}">
      <text>
        <r>
          <rPr>
            <sz val="10"/>
            <rFont val="Arial"/>
            <family val="2"/>
          </rPr>
          <t>0
(5,000 USD minimum deposit)</t>
        </r>
      </text>
    </comment>
    <comment ref="CB84" authorId="0" shapeId="0" xr:uid="{00000000-0006-0000-0000-000014010000}">
      <text>
        <r>
          <rPr>
            <sz val="10"/>
            <rFont val="Arial"/>
            <family val="2"/>
          </rPr>
          <t>0.45% AUA p.a.
(min 24k p.a)</t>
        </r>
      </text>
    </comment>
    <comment ref="AL85" authorId="0" shapeId="0" xr:uid="{00000000-0006-0000-0000-00004D000000}">
      <text>
        <r>
          <rPr>
            <sz val="10"/>
            <rFont val="Arial"/>
            <family val="2"/>
          </rPr>
          <t>0
(5,000 USD minimum deposit)</t>
        </r>
      </text>
    </comment>
    <comment ref="AL86" authorId="0" shapeId="0" xr:uid="{00000000-0006-0000-0000-00004E000000}">
      <text>
        <r>
          <rPr>
            <sz val="10"/>
            <rFont val="Arial"/>
            <family val="2"/>
          </rPr>
          <t>0
(5,000 USD minimum deposit)</t>
        </r>
      </text>
    </comment>
    <comment ref="AL90" authorId="0" shapeId="0" xr:uid="{00000000-0006-0000-0000-00004F000000}">
      <text>
        <r>
          <rPr>
            <sz val="10"/>
            <rFont val="Arial"/>
            <family val="2"/>
          </rPr>
          <t>0
(5,000 USD minimum deposit)</t>
        </r>
      </text>
    </comment>
    <comment ref="BF90" authorId="0" shapeId="0" xr:uid="{00000000-0006-0000-0000-000001010000}">
      <text>
        <r>
          <rPr>
            <sz val="10"/>
            <rFont val="Arial"/>
            <family val="2"/>
          </rPr>
          <t>EUR 500
+ EUR 250 (preparation and filing of provisional, per GRP 2026)</t>
        </r>
      </text>
    </comment>
    <comment ref="AD91" authorId="0" shapeId="0" xr:uid="{00000000-0006-0000-0000-000002000000}">
      <text>
        <r>
          <rPr>
            <sz val="10"/>
            <rFont val="Arial"/>
            <family val="2"/>
          </rPr>
          <t>EUR, 4,500</t>
        </r>
      </text>
    </comment>
    <comment ref="AL91" authorId="0" shapeId="0" xr:uid="{00000000-0006-0000-0000-000050000000}">
      <text>
        <r>
          <rPr>
            <sz val="10"/>
            <rFont val="Arial"/>
            <family val="2"/>
          </rPr>
          <t>0
(5,000 USD minimum deposit)</t>
        </r>
      </text>
    </comment>
    <comment ref="AL92" authorId="0" shapeId="0" xr:uid="{00000000-0006-0000-0000-000051000000}">
      <text>
        <r>
          <rPr>
            <sz val="10"/>
            <rFont val="Arial"/>
            <family val="2"/>
          </rPr>
          <t>0
(5,000 USD minimum deposit)</t>
        </r>
      </text>
    </comment>
    <comment ref="AL93" authorId="0" shapeId="0" xr:uid="{00000000-0006-0000-0000-000052000000}">
      <text>
        <r>
          <rPr>
            <sz val="10"/>
            <rFont val="Arial"/>
            <family val="2"/>
          </rPr>
          <t>0
(5,000 USD minimum deposit)</t>
        </r>
      </text>
    </comment>
    <comment ref="AL94" authorId="0" shapeId="0" xr:uid="{00000000-0006-0000-0000-000053000000}">
      <text>
        <r>
          <rPr>
            <sz val="10"/>
            <rFont val="Arial"/>
            <family val="2"/>
          </rPr>
          <t>0
(5,000 USD minimum deposit)</t>
        </r>
      </text>
    </comment>
    <comment ref="AL95" authorId="0" shapeId="0" xr:uid="{00000000-0006-0000-0000-000054000000}">
      <text>
        <r>
          <rPr>
            <sz val="10"/>
            <rFont val="Arial"/>
            <family val="2"/>
          </rPr>
          <t>0
(5,000 USD minimum deposit)</t>
        </r>
      </text>
    </comment>
    <comment ref="AL97" authorId="0" shapeId="0" xr:uid="{00000000-0006-0000-0000-000055000000}">
      <text>
        <r>
          <rPr>
            <sz val="10"/>
            <rFont val="Arial"/>
            <family val="2"/>
          </rPr>
          <t>0
(5,000 USD minimum deposit)</t>
        </r>
      </text>
    </comment>
    <comment ref="AL98" authorId="0" shapeId="0" xr:uid="{00000000-0006-0000-0000-000056000000}">
      <text>
        <r>
          <rPr>
            <sz val="10"/>
            <rFont val="Arial"/>
            <family val="2"/>
          </rPr>
          <t>0
(5,000 USD minimum deposit)</t>
        </r>
      </text>
    </comment>
    <comment ref="AL99" authorId="0" shapeId="0" xr:uid="{00000000-0006-0000-0000-000057000000}">
      <text>
        <r>
          <rPr>
            <sz val="10"/>
            <rFont val="Arial"/>
            <family val="2"/>
          </rPr>
          <t>0
(5,000 USD minimum deposit)</t>
        </r>
      </text>
    </comment>
    <comment ref="AL100" authorId="0" shapeId="0" xr:uid="{00000000-0006-0000-0000-000058000000}">
      <text>
        <r>
          <rPr>
            <sz val="10"/>
            <rFont val="Arial"/>
            <family val="2"/>
          </rPr>
          <t>0
(5,000 USD minimum deposit)</t>
        </r>
      </text>
    </comment>
    <comment ref="AL101" authorId="0" shapeId="0" xr:uid="{00000000-0006-0000-0000-000059000000}">
      <text>
        <r>
          <rPr>
            <sz val="10"/>
            <rFont val="Arial"/>
            <family val="2"/>
          </rPr>
          <t>0
(5,000 USD minimum deposit)</t>
        </r>
      </text>
    </comment>
    <comment ref="AL102" authorId="0" shapeId="0" xr:uid="{00000000-0006-0000-0000-00005A000000}">
      <text>
        <r>
          <rPr>
            <sz val="10"/>
            <rFont val="Arial"/>
            <family val="2"/>
          </rPr>
          <t>0
(5,000 USD minimum deposit)</t>
        </r>
      </text>
    </comment>
    <comment ref="AL103" authorId="0" shapeId="0" xr:uid="{00000000-0006-0000-0000-00005B000000}">
      <text>
        <r>
          <rPr>
            <sz val="10"/>
            <rFont val="Arial"/>
            <family val="2"/>
          </rPr>
          <t>0
(5,000 USD minimum deposit)</t>
        </r>
      </text>
    </comment>
    <comment ref="AL104" authorId="0" shapeId="0" xr:uid="{00000000-0006-0000-0000-00005C000000}">
      <text>
        <r>
          <rPr>
            <sz val="10"/>
            <rFont val="Arial"/>
            <family val="2"/>
          </rPr>
          <t>0
(5,000 USD minimum deposit)</t>
        </r>
      </text>
    </comment>
    <comment ref="AL105" authorId="0" shapeId="0" xr:uid="{00000000-0006-0000-0000-00005D000000}">
      <text>
        <r>
          <rPr>
            <sz val="10"/>
            <rFont val="Arial"/>
            <family val="2"/>
          </rPr>
          <t>0
(5,000 USD minimum deposit)</t>
        </r>
      </text>
    </comment>
    <comment ref="AL106" authorId="0" shapeId="0" xr:uid="{00000000-0006-0000-0000-00005E000000}">
      <text>
        <r>
          <rPr>
            <sz val="10"/>
            <rFont val="Arial"/>
            <family val="2"/>
          </rPr>
          <t>0
(5,000 USD minimum deposit)</t>
        </r>
      </text>
    </comment>
    <comment ref="AL107" authorId="0" shapeId="0" xr:uid="{00000000-0006-0000-0000-00005F000000}">
      <text>
        <r>
          <rPr>
            <sz val="10"/>
            <rFont val="Arial"/>
            <family val="2"/>
          </rPr>
          <t>0
(5,000 USD minimum deposit)</t>
        </r>
      </text>
    </comment>
    <comment ref="AL108" authorId="0" shapeId="0" xr:uid="{00000000-0006-0000-0000-000060000000}">
      <text>
        <r>
          <rPr>
            <sz val="10"/>
            <rFont val="Arial"/>
            <family val="2"/>
          </rPr>
          <t>0
(5,000 USD minimum deposit)</t>
        </r>
      </text>
    </comment>
    <comment ref="AL110" authorId="0" shapeId="0" xr:uid="{00000000-0006-0000-0000-000061000000}">
      <text>
        <r>
          <rPr>
            <sz val="10"/>
            <rFont val="Arial"/>
            <family val="2"/>
          </rPr>
          <t>0
(5,000 USD minimum deposit)</t>
        </r>
      </text>
    </comment>
    <comment ref="AD111" authorId="0" shapeId="0" xr:uid="{00000000-0006-0000-0000-000003000000}">
      <text>
        <r>
          <rPr>
            <sz val="10"/>
            <rFont val="Arial"/>
            <family val="2"/>
          </rPr>
          <t>USD 3,000
+ USD 500 (incorporation fee, per GRP 2026)</t>
        </r>
      </text>
    </comment>
    <comment ref="AL111" authorId="0" shapeId="0" xr:uid="{00000000-0006-0000-0000-000062000000}">
      <text>
        <r>
          <rPr>
            <sz val="10"/>
            <rFont val="Arial"/>
            <family val="2"/>
          </rPr>
          <t>0
(5,000 USD minimum deposit)</t>
        </r>
      </text>
    </comment>
    <comment ref="AZ111" authorId="0" shapeId="0" xr:uid="{00000000-0006-0000-0000-0000F3000000}">
      <text>
        <r>
          <rPr>
            <sz val="10"/>
            <rFont val="Arial"/>
            <family val="2"/>
          </rPr>
          <t>USD 1,100
+ USD 300 (confirmation statement filing fee, per GRP 2026)</t>
        </r>
      </text>
    </comment>
    <comment ref="AL112" authorId="0" shapeId="0" xr:uid="{00000000-0006-0000-0000-000063000000}">
      <text>
        <r>
          <rPr>
            <sz val="10"/>
            <rFont val="Arial"/>
            <family val="2"/>
          </rPr>
          <t>0
(5,000 USD minimum deposit)</t>
        </r>
      </text>
    </comment>
    <comment ref="AL113" authorId="0" shapeId="0" xr:uid="{00000000-0006-0000-0000-000064000000}">
      <text>
        <r>
          <rPr>
            <sz val="10"/>
            <rFont val="Arial"/>
            <family val="2"/>
          </rPr>
          <t>0
(5,000 USD minimum deposit)</t>
        </r>
      </text>
    </comment>
    <comment ref="AL114" authorId="0" shapeId="0" xr:uid="{00000000-0006-0000-0000-000065000000}">
      <text>
        <r>
          <rPr>
            <sz val="10"/>
            <rFont val="Arial"/>
            <family val="2"/>
          </rPr>
          <t>0
(5,000 USD minimum deposit)</t>
        </r>
      </text>
    </comment>
    <comment ref="AL115" authorId="0" shapeId="0" xr:uid="{00000000-0006-0000-0000-000066000000}">
      <text>
        <r>
          <rPr>
            <sz val="10"/>
            <rFont val="Arial"/>
            <family val="2"/>
          </rPr>
          <t>0
(5,000 USD minimum deposit)</t>
        </r>
      </text>
    </comment>
    <comment ref="BZ115" authorId="0" shapeId="0" xr:uid="{00000000-0006-0000-0000-000011010000}">
      <text>
        <r>
          <rPr>
            <sz val="10"/>
            <rFont val="Arial"/>
            <family val="2"/>
          </rPr>
          <t>0.45 % of AUA</t>
        </r>
      </text>
    </comment>
    <comment ref="CB115" authorId="0" shapeId="0" xr:uid="{00000000-0006-0000-0000-000015010000}">
      <text>
        <r>
          <rPr>
            <sz val="10"/>
            <rFont val="Arial"/>
            <family val="2"/>
          </rPr>
          <t>2,000 USD per month minimum fee</t>
        </r>
      </text>
    </comment>
    <comment ref="CF115" authorId="0" shapeId="0" xr:uid="{00000000-0006-0000-0000-000019010000}">
      <text>
        <r>
          <rPr>
            <sz val="10"/>
            <rFont val="Arial"/>
            <family val="2"/>
          </rPr>
          <t>250 USD per investor</t>
        </r>
      </text>
    </comment>
    <comment ref="AL118" authorId="0" shapeId="0" xr:uid="{00000000-0006-0000-0000-000067000000}">
      <text>
        <r>
          <rPr>
            <sz val="10"/>
            <rFont val="Arial"/>
            <family val="2"/>
          </rPr>
          <t>0
(5,000 USD minimum deposit)</t>
        </r>
      </text>
    </comment>
    <comment ref="AL119" authorId="0" shapeId="0" xr:uid="{00000000-0006-0000-0000-000068000000}">
      <text>
        <r>
          <rPr>
            <sz val="10"/>
            <rFont val="Arial"/>
            <family val="2"/>
          </rPr>
          <t>0
(5,000 USD minimum deposit)</t>
        </r>
      </text>
    </comment>
    <comment ref="AL120" authorId="0" shapeId="0" xr:uid="{00000000-0006-0000-0000-000069000000}">
      <text>
        <r>
          <rPr>
            <sz val="10"/>
            <rFont val="Arial"/>
            <family val="2"/>
          </rPr>
          <t>0
(5,000 USD minimum deposit)</t>
        </r>
      </text>
    </comment>
    <comment ref="AL121" authorId="0" shapeId="0" xr:uid="{00000000-0006-0000-0000-00006A000000}">
      <text>
        <r>
          <rPr>
            <sz val="10"/>
            <rFont val="Arial"/>
            <family val="2"/>
          </rPr>
          <t>0
(5,000 USD minimum deposit)</t>
        </r>
      </text>
    </comment>
    <comment ref="AL122" authorId="0" shapeId="0" xr:uid="{00000000-0006-0000-0000-00006B000000}">
      <text>
        <r>
          <rPr>
            <sz val="10"/>
            <rFont val="Arial"/>
            <family val="2"/>
          </rPr>
          <t>0
(5,000 USD minimum deposit)</t>
        </r>
      </text>
    </comment>
    <comment ref="AL123" authorId="0" shapeId="0" xr:uid="{00000000-0006-0000-0000-00006C000000}">
      <text>
        <r>
          <rPr>
            <sz val="10"/>
            <rFont val="Arial"/>
            <family val="2"/>
          </rPr>
          <t>0
(5,000 USD minimum deposit)</t>
        </r>
      </text>
    </comment>
    <comment ref="AL124" authorId="0" shapeId="0" xr:uid="{00000000-0006-0000-0000-00006D000000}">
      <text>
        <r>
          <rPr>
            <sz val="10"/>
            <rFont val="Arial"/>
            <family val="2"/>
          </rPr>
          <t>0
(5,000 USD minimum deposit)</t>
        </r>
      </text>
    </comment>
    <comment ref="AL125" authorId="0" shapeId="0" xr:uid="{00000000-0006-0000-0000-00006E000000}">
      <text>
        <r>
          <rPr>
            <sz val="10"/>
            <rFont val="Arial"/>
            <family val="2"/>
          </rPr>
          <t>0
(5,000 USD minimum deposit)</t>
        </r>
      </text>
    </comment>
    <comment ref="AL126" authorId="0" shapeId="0" xr:uid="{00000000-0006-0000-0000-00006F000000}">
      <text>
        <r>
          <rPr>
            <sz val="10"/>
            <rFont val="Arial"/>
            <family val="2"/>
          </rPr>
          <t>0
(5,000 USD minimum deposit)</t>
        </r>
      </text>
    </comment>
    <comment ref="AL127" authorId="0" shapeId="0" xr:uid="{00000000-0006-0000-0000-000070000000}">
      <text>
        <r>
          <rPr>
            <sz val="10"/>
            <rFont val="Arial"/>
            <family val="2"/>
          </rPr>
          <t>0
(5,000 USD minimum deposit)</t>
        </r>
      </text>
    </comment>
    <comment ref="AL129" authorId="0" shapeId="0" xr:uid="{00000000-0006-0000-0000-000071000000}">
      <text>
        <r>
          <rPr>
            <sz val="10"/>
            <rFont val="Arial"/>
            <family val="2"/>
          </rPr>
          <t>0
(5,000 USD minimum deposit)</t>
        </r>
      </text>
    </comment>
    <comment ref="AL130" authorId="0" shapeId="0" xr:uid="{00000000-0006-0000-0000-000072000000}">
      <text>
        <r>
          <rPr>
            <sz val="10"/>
            <rFont val="Arial"/>
            <family val="2"/>
          </rPr>
          <t>0
(5,000 USD minimum deposit)</t>
        </r>
      </text>
    </comment>
    <comment ref="AL131" authorId="0" shapeId="0" xr:uid="{00000000-0006-0000-0000-000073000000}">
      <text>
        <r>
          <rPr>
            <sz val="10"/>
            <rFont val="Arial"/>
            <family val="2"/>
          </rPr>
          <t>0
(5,000 USD minimum deposit)</t>
        </r>
      </text>
    </comment>
    <comment ref="AL132" authorId="0" shapeId="0" xr:uid="{00000000-0006-0000-0000-000074000000}">
      <text>
        <r>
          <rPr>
            <sz val="10"/>
            <rFont val="Arial"/>
            <family val="2"/>
          </rPr>
          <t>0
(5,000 USD minimum deposit)</t>
        </r>
      </text>
    </comment>
    <comment ref="AL135" authorId="0" shapeId="0" xr:uid="{00000000-0006-0000-0000-000075000000}">
      <text>
        <r>
          <rPr>
            <sz val="10"/>
            <rFont val="Arial"/>
            <family val="2"/>
          </rPr>
          <t>0
(5,000 USD minimum deposit)</t>
        </r>
      </text>
    </comment>
    <comment ref="AL136" authorId="0" shapeId="0" xr:uid="{00000000-0006-0000-0000-000076000000}">
      <text>
        <r>
          <rPr>
            <sz val="10"/>
            <rFont val="Arial"/>
            <family val="2"/>
          </rPr>
          <t>0
(5,000 USD minimum deposit)</t>
        </r>
      </text>
    </comment>
    <comment ref="AL138" authorId="0" shapeId="0" xr:uid="{00000000-0006-0000-0000-000077000000}">
      <text>
        <r>
          <rPr>
            <sz val="10"/>
            <rFont val="Arial"/>
            <family val="2"/>
          </rPr>
          <t>0
(5,000 USD minimum deposit)</t>
        </r>
      </text>
    </comment>
    <comment ref="AL139" authorId="0" shapeId="0" xr:uid="{00000000-0006-0000-0000-000078000000}">
      <text>
        <r>
          <rPr>
            <sz val="10"/>
            <rFont val="Arial"/>
            <family val="2"/>
          </rPr>
          <t>0
(5,000 USD minimum deposit)</t>
        </r>
      </text>
    </comment>
    <comment ref="AL140" authorId="0" shapeId="0" xr:uid="{00000000-0006-0000-0000-000079000000}">
      <text>
        <r>
          <rPr>
            <sz val="10"/>
            <rFont val="Arial"/>
            <family val="2"/>
          </rPr>
          <t>0
(5,000 USD minimum deposit)</t>
        </r>
      </text>
    </comment>
    <comment ref="AL141" authorId="0" shapeId="0" xr:uid="{00000000-0006-0000-0000-00007A000000}">
      <text>
        <r>
          <rPr>
            <sz val="10"/>
            <rFont val="Arial"/>
            <family val="2"/>
          </rPr>
          <t>0
(5,000 USD minimum deposit)</t>
        </r>
      </text>
    </comment>
    <comment ref="AL142" authorId="0" shapeId="0" xr:uid="{00000000-0006-0000-0000-00007B000000}">
      <text>
        <r>
          <rPr>
            <sz val="10"/>
            <rFont val="Arial"/>
            <family val="2"/>
          </rPr>
          <t>0
(5,000 USD minimum deposit)</t>
        </r>
      </text>
    </comment>
    <comment ref="AL143" authorId="0" shapeId="0" xr:uid="{00000000-0006-0000-0000-00007C000000}">
      <text>
        <r>
          <rPr>
            <sz val="10"/>
            <rFont val="Arial"/>
            <family val="2"/>
          </rPr>
          <t>0
(5,000 USD minimum deposit)</t>
        </r>
      </text>
    </comment>
    <comment ref="AL145" authorId="0" shapeId="0" xr:uid="{00000000-0006-0000-0000-00007D000000}">
      <text>
        <r>
          <rPr>
            <sz val="10"/>
            <rFont val="Arial"/>
            <family val="2"/>
          </rPr>
          <t>0
(5,000 USD minimum deposit)</t>
        </r>
      </text>
    </comment>
    <comment ref="BD145" authorId="0" shapeId="0" xr:uid="{00000000-0006-0000-0000-0000FA000000}">
      <text>
        <r>
          <rPr>
            <sz val="10"/>
            <rFont val="Arial"/>
            <family val="2"/>
          </rPr>
          <t>INR 3,000-4,000</t>
        </r>
      </text>
    </comment>
    <comment ref="BF145" authorId="0" shapeId="0" xr:uid="{00000000-0006-0000-0000-000002010000}">
      <text>
        <r>
          <rPr>
            <sz val="10"/>
            <rFont val="Arial"/>
            <family val="2"/>
          </rPr>
          <t>INR 3,000-4,000</t>
        </r>
      </text>
    </comment>
    <comment ref="AL146" authorId="0" shapeId="0" xr:uid="{00000000-0006-0000-0000-00007E000000}">
      <text>
        <r>
          <rPr>
            <sz val="10"/>
            <rFont val="Arial"/>
            <family val="2"/>
          </rPr>
          <t>0
(5,000 USD minimum deposit)</t>
        </r>
      </text>
    </comment>
    <comment ref="AL147" authorId="0" shapeId="0" xr:uid="{00000000-0006-0000-0000-00007F000000}">
      <text>
        <r>
          <rPr>
            <sz val="10"/>
            <rFont val="Arial"/>
            <family val="2"/>
          </rPr>
          <t>0
(5,000 USD minimum deposit)</t>
        </r>
      </text>
    </comment>
    <comment ref="AL148" authorId="0" shapeId="0" xr:uid="{00000000-0006-0000-0000-000080000000}">
      <text>
        <r>
          <rPr>
            <sz val="10"/>
            <rFont val="Arial"/>
            <family val="2"/>
          </rPr>
          <t>0
(5,000 USD minimum deposit)</t>
        </r>
      </text>
    </comment>
    <comment ref="AL149" authorId="0" shapeId="0" xr:uid="{00000000-0006-0000-0000-000081000000}">
      <text>
        <r>
          <rPr>
            <sz val="10"/>
            <rFont val="Arial"/>
            <family val="2"/>
          </rPr>
          <t>0
(5,000 USD minimum deposit)</t>
        </r>
      </text>
    </comment>
    <comment ref="AL150" authorId="0" shapeId="0" xr:uid="{00000000-0006-0000-0000-000082000000}">
      <text>
        <r>
          <rPr>
            <sz val="10"/>
            <rFont val="Arial"/>
            <family val="2"/>
          </rPr>
          <t>0
(5,000 USD minimum deposit)</t>
        </r>
      </text>
    </comment>
    <comment ref="AL151" authorId="0" shapeId="0" xr:uid="{00000000-0006-0000-0000-000083000000}">
      <text>
        <r>
          <rPr>
            <sz val="10"/>
            <rFont val="Arial"/>
            <family val="2"/>
          </rPr>
          <t>0
(5,000 USD minimum deposit)</t>
        </r>
      </text>
    </comment>
    <comment ref="AD158" authorId="0" shapeId="0" xr:uid="{00000000-0006-0000-0000-000004000000}">
      <text>
        <r>
          <rPr>
            <sz val="10"/>
            <rFont val="Arial"/>
            <family val="2"/>
          </rPr>
          <t>EUR 2,280
+ EUR 2,810 (incorporation of a designated activity, per GRP 2026)</t>
        </r>
      </text>
    </comment>
    <comment ref="AL158" authorId="0" shapeId="0" xr:uid="{00000000-0006-0000-0000-000084000000}">
      <text>
        <r>
          <rPr>
            <sz val="10"/>
            <rFont val="Arial"/>
            <family val="2"/>
          </rPr>
          <t>0
(5,000 USD minimum deposit)</t>
        </r>
      </text>
    </comment>
    <comment ref="AL160" authorId="0" shapeId="0" xr:uid="{00000000-0006-0000-0000-000085000000}">
      <text>
        <r>
          <rPr>
            <sz val="10"/>
            <rFont val="Arial"/>
            <family val="2"/>
          </rPr>
          <t>0
(5,000 USD minimum deposit)</t>
        </r>
      </text>
    </comment>
    <comment ref="AL161" authorId="0" shapeId="0" xr:uid="{00000000-0006-0000-0000-000086000000}">
      <text>
        <r>
          <rPr>
            <sz val="10"/>
            <rFont val="Arial"/>
            <family val="2"/>
          </rPr>
          <t>0
(5,000 USD minimum deposit)</t>
        </r>
      </text>
    </comment>
    <comment ref="AL162" authorId="0" shapeId="0" xr:uid="{00000000-0006-0000-0000-000087000000}">
      <text>
        <r>
          <rPr>
            <sz val="10"/>
            <rFont val="Arial"/>
            <family val="2"/>
          </rPr>
          <t>0
(5,000 USD minimum deposit)</t>
        </r>
      </text>
    </comment>
    <comment ref="AL163" authorId="0" shapeId="0" xr:uid="{00000000-0006-0000-0000-000088000000}">
      <text>
        <r>
          <rPr>
            <sz val="10"/>
            <rFont val="Arial"/>
            <family val="2"/>
          </rPr>
          <t>0
(5,000 USD minimum deposit)</t>
        </r>
      </text>
    </comment>
    <comment ref="AL164" authorId="0" shapeId="0" xr:uid="{00000000-0006-0000-0000-000089000000}">
      <text>
        <r>
          <rPr>
            <sz val="10"/>
            <rFont val="Arial"/>
            <family val="2"/>
          </rPr>
          <t>0
(5,000 USD minimum deposit)</t>
        </r>
      </text>
    </comment>
    <comment ref="AL165" authorId="0" shapeId="0" xr:uid="{00000000-0006-0000-0000-00008A000000}">
      <text>
        <r>
          <rPr>
            <sz val="10"/>
            <rFont val="Arial"/>
            <family val="2"/>
          </rPr>
          <t>0
(5,000 USD minimum deposit)</t>
        </r>
      </text>
    </comment>
    <comment ref="AL167" authorId="0" shapeId="0" xr:uid="{00000000-0006-0000-0000-00008B000000}">
      <text>
        <r>
          <rPr>
            <sz val="10"/>
            <rFont val="Arial"/>
            <family val="2"/>
          </rPr>
          <t>0
(5,000 USD minimum deposit)</t>
        </r>
      </text>
    </comment>
    <comment ref="AL169" authorId="0" shapeId="0" xr:uid="{00000000-0006-0000-0000-00008C000000}">
      <text>
        <r>
          <rPr>
            <sz val="10"/>
            <rFont val="Arial"/>
            <family val="2"/>
          </rPr>
          <t>0
(5,000 USD minimum deposit)</t>
        </r>
      </text>
    </comment>
    <comment ref="BJ169" authorId="0" shapeId="0" xr:uid="{00000000-0006-0000-0000-000007010000}">
      <text>
        <r>
          <rPr>
            <sz val="10"/>
            <rFont val="Arial"/>
            <family val="2"/>
          </rPr>
          <t>EUR 1,000 (audit fee)
EUR 1,000 (support for external audit)
EUR 1,000 (supervisory auditor)</t>
        </r>
      </text>
    </comment>
    <comment ref="AL170" authorId="0" shapeId="0" xr:uid="{00000000-0006-0000-0000-00008D000000}">
      <text>
        <r>
          <rPr>
            <sz val="10"/>
            <rFont val="Arial"/>
            <family val="2"/>
          </rPr>
          <t>0
(5,000 USD minimum deposit)</t>
        </r>
      </text>
    </comment>
    <comment ref="BJ170" authorId="0" shapeId="0" xr:uid="{00000000-0006-0000-0000-000008010000}">
      <text>
        <r>
          <rPr>
            <sz val="10"/>
            <rFont val="Arial"/>
            <family val="2"/>
          </rPr>
          <t>EUR 1,000 (audit fee)
EUR 1,000 (support for external audit)
EUR 1,000 (supervisory auditor)</t>
        </r>
      </text>
    </comment>
    <comment ref="AL171" authorId="0" shapeId="0" xr:uid="{00000000-0006-0000-0000-00008E000000}">
      <text>
        <r>
          <rPr>
            <sz val="10"/>
            <rFont val="Arial"/>
            <family val="2"/>
          </rPr>
          <t>0
(5,000 USD minimum deposit)</t>
        </r>
      </text>
    </comment>
    <comment ref="BJ171" authorId="0" shapeId="0" xr:uid="{00000000-0006-0000-0000-000009010000}">
      <text>
        <r>
          <rPr>
            <sz val="10"/>
            <rFont val="Arial"/>
            <family val="2"/>
          </rPr>
          <t>EUR 1,000 (audit fee)
EUR 1,000 (support for external audit)
EUR 1,000 (supervisory auditor)</t>
        </r>
      </text>
    </comment>
    <comment ref="AL172" authorId="0" shapeId="0" xr:uid="{00000000-0006-0000-0000-00008F000000}">
      <text>
        <r>
          <rPr>
            <sz val="10"/>
            <rFont val="Arial"/>
            <family val="2"/>
          </rPr>
          <t>0
(5,000 USD minimum deposit)</t>
        </r>
      </text>
    </comment>
    <comment ref="BJ172" authorId="0" shapeId="0" xr:uid="{00000000-0006-0000-0000-00000A010000}">
      <text>
        <r>
          <rPr>
            <sz val="10"/>
            <rFont val="Arial"/>
            <family val="2"/>
          </rPr>
          <t>EUR 1,000 (audit fee)
EUR 1,000 (support for external audit)
EUR 1,000 (supervisory auditor)</t>
        </r>
      </text>
    </comment>
    <comment ref="AL173" authorId="0" shapeId="0" xr:uid="{00000000-0006-0000-0000-000090000000}">
      <text>
        <r>
          <rPr>
            <sz val="10"/>
            <rFont val="Arial"/>
            <family val="2"/>
          </rPr>
          <t>0
(5,000 USD minimum deposit)</t>
        </r>
      </text>
    </comment>
    <comment ref="AL174" authorId="0" shapeId="0" xr:uid="{00000000-0006-0000-0000-000091000000}">
      <text>
        <r>
          <rPr>
            <sz val="10"/>
            <rFont val="Arial"/>
            <family val="2"/>
          </rPr>
          <t>0
(5,000 USD minimum deposit)</t>
        </r>
      </text>
    </comment>
    <comment ref="AL175" authorId="0" shapeId="0" xr:uid="{00000000-0006-0000-0000-000092000000}">
      <text>
        <r>
          <rPr>
            <sz val="10"/>
            <rFont val="Arial"/>
            <family val="2"/>
          </rPr>
          <t>0
(5,000 USD minimum deposit)</t>
        </r>
      </text>
    </comment>
    <comment ref="AL176" authorId="0" shapeId="0" xr:uid="{00000000-0006-0000-0000-000093000000}">
      <text>
        <r>
          <rPr>
            <sz val="10"/>
            <rFont val="Arial"/>
            <family val="2"/>
          </rPr>
          <t>0
(5,000 USD minimum deposit)</t>
        </r>
      </text>
    </comment>
    <comment ref="AL177" authorId="0" shapeId="0" xr:uid="{00000000-0006-0000-0000-000094000000}">
      <text>
        <r>
          <rPr>
            <sz val="10"/>
            <rFont val="Arial"/>
            <family val="2"/>
          </rPr>
          <t>0
(5,000 USD minimum deposit)</t>
        </r>
      </text>
    </comment>
    <comment ref="AL178" authorId="0" shapeId="0" xr:uid="{00000000-0006-0000-0000-000095000000}">
      <text>
        <r>
          <rPr>
            <sz val="10"/>
            <rFont val="Arial"/>
            <family val="2"/>
          </rPr>
          <t>0
(5,000 USD minimum deposit)</t>
        </r>
      </text>
    </comment>
    <comment ref="AL179" authorId="0" shapeId="0" xr:uid="{00000000-0006-0000-0000-000096000000}">
      <text>
        <r>
          <rPr>
            <sz val="10"/>
            <rFont val="Arial"/>
            <family val="2"/>
          </rPr>
          <t>0
(5,000 USD minimum deposit)</t>
        </r>
      </text>
    </comment>
    <comment ref="AL180" authorId="0" shapeId="0" xr:uid="{00000000-0006-0000-0000-000097000000}">
      <text>
        <r>
          <rPr>
            <sz val="10"/>
            <rFont val="Arial"/>
            <family val="2"/>
          </rPr>
          <t>0
(5,000 USD minimum deposit)</t>
        </r>
      </text>
    </comment>
    <comment ref="BT180" authorId="0" shapeId="0" xr:uid="{00000000-0006-0000-0000-000010010000}">
      <text>
        <r>
          <rPr>
            <sz val="10"/>
            <rFont val="Arial"/>
            <family val="2"/>
          </rPr>
          <t>USD 8,500 per additional compartment</t>
        </r>
      </text>
    </comment>
    <comment ref="AL182" authorId="0" shapeId="0" xr:uid="{00000000-0006-0000-0000-000098000000}">
      <text>
        <r>
          <rPr>
            <sz val="10"/>
            <rFont val="Arial"/>
            <family val="2"/>
          </rPr>
          <t>0
(5,000 USD minimum deposit)</t>
        </r>
      </text>
    </comment>
    <comment ref="AN182" authorId="0" shapeId="0" xr:uid="{00000000-0006-0000-0000-0000E9000000}">
      <text>
        <r>
          <rPr>
            <sz val="10"/>
            <rFont val="Arial"/>
            <family val="2"/>
          </rPr>
          <t>EUR From 1,350</t>
        </r>
      </text>
    </comment>
    <comment ref="BD182" authorId="0" shapeId="0" xr:uid="{00000000-0006-0000-0000-0000FB000000}">
      <text>
        <r>
          <rPr>
            <sz val="10"/>
            <rFont val="Arial"/>
            <family val="2"/>
          </rPr>
          <t>Min €1,850 for a Holding Co;
€2,500 min for a trading Company.
BOTH BASED ON MAX 20 TRANSACTIONS P.A. 
MORE CHARGED IF TRANSACTIONS EXCEED 20 P.A
GRP 2026: EUR From 600</t>
        </r>
      </text>
    </comment>
    <comment ref="BH182" authorId="0" shapeId="0" xr:uid="{00000000-0006-0000-0000-000006010000}">
      <text>
        <r>
          <rPr>
            <sz val="10"/>
            <rFont val="Arial"/>
            <family val="2"/>
          </rPr>
          <t>EUR From 600 (coordination of standard annual general)
EUR From 600 (coordination of board meeting including)</t>
        </r>
      </text>
    </comment>
    <comment ref="AL183" authorId="0" shapeId="0" xr:uid="{00000000-0006-0000-0000-000099000000}">
      <text>
        <r>
          <rPr>
            <sz val="10"/>
            <rFont val="Arial"/>
            <family val="2"/>
          </rPr>
          <t>0
(5,000 USD minimum deposit)</t>
        </r>
      </text>
    </comment>
    <comment ref="AL184" authorId="0" shapeId="0" xr:uid="{00000000-0006-0000-0000-00009A000000}">
      <text>
        <r>
          <rPr>
            <sz val="10"/>
            <rFont val="Arial"/>
            <family val="2"/>
          </rPr>
          <t>0
(5,000 USD minimum deposit)</t>
        </r>
      </text>
    </comment>
    <comment ref="AL185" authorId="0" shapeId="0" xr:uid="{00000000-0006-0000-0000-00009B000000}">
      <text>
        <r>
          <rPr>
            <sz val="10"/>
            <rFont val="Arial"/>
            <family val="2"/>
          </rPr>
          <t>0
(5,000 USD minimum deposit)</t>
        </r>
      </text>
    </comment>
    <comment ref="AL186" authorId="0" shapeId="0" xr:uid="{00000000-0006-0000-0000-00009C000000}">
      <text>
        <r>
          <rPr>
            <sz val="10"/>
            <rFont val="Arial"/>
            <family val="2"/>
          </rPr>
          <t>0
(5,000 USD minimum deposit)</t>
        </r>
      </text>
    </comment>
    <comment ref="AL187" authorId="0" shapeId="0" xr:uid="{00000000-0006-0000-0000-00009D000000}">
      <text>
        <r>
          <rPr>
            <sz val="10"/>
            <rFont val="Arial"/>
            <family val="2"/>
          </rPr>
          <t>0
(5,000 USD minimum deposit)</t>
        </r>
      </text>
    </comment>
    <comment ref="AL188" authorId="0" shapeId="0" xr:uid="{00000000-0006-0000-0000-00009E000000}">
      <text>
        <r>
          <rPr>
            <sz val="10"/>
            <rFont val="Arial"/>
            <family val="2"/>
          </rPr>
          <t>0
(5,000 USD minimum deposit)</t>
        </r>
      </text>
    </comment>
    <comment ref="AL189" authorId="0" shapeId="0" xr:uid="{00000000-0006-0000-0000-00009F000000}">
      <text>
        <r>
          <rPr>
            <sz val="10"/>
            <rFont val="Arial"/>
            <family val="2"/>
          </rPr>
          <t>0
(5,000 USD minimum deposit)</t>
        </r>
      </text>
    </comment>
    <comment ref="AL190" authorId="0" shapeId="0" xr:uid="{00000000-0006-0000-0000-0000A0000000}">
      <text>
        <r>
          <rPr>
            <sz val="10"/>
            <rFont val="Arial"/>
            <family val="2"/>
          </rPr>
          <t>0
(5,000 USD minimum deposit)</t>
        </r>
      </text>
    </comment>
    <comment ref="AL192" authorId="0" shapeId="0" xr:uid="{00000000-0006-0000-0000-0000A1000000}">
      <text>
        <r>
          <rPr>
            <sz val="10"/>
            <rFont val="Arial"/>
            <family val="2"/>
          </rPr>
          <t>0
(5,000 USD minimum deposit)</t>
        </r>
      </text>
    </comment>
    <comment ref="BJ192" authorId="0" shapeId="0" xr:uid="{00000000-0006-0000-0000-00000B010000}">
      <text>
        <r>
          <rPr>
            <sz val="10"/>
            <rFont val="Arial"/>
            <family val="2"/>
          </rPr>
          <t>est 2,000-4,000</t>
        </r>
      </text>
    </comment>
    <comment ref="AL193" authorId="0" shapeId="0" xr:uid="{00000000-0006-0000-0000-0000A2000000}">
      <text>
        <r>
          <rPr>
            <sz val="10"/>
            <rFont val="Arial"/>
            <family val="2"/>
          </rPr>
          <t>0
(5,000 USD minimum deposit)</t>
        </r>
      </text>
    </comment>
    <comment ref="BB193" authorId="0" shapeId="0" xr:uid="{00000000-0006-0000-0000-0000F6000000}">
      <text>
        <r>
          <rPr>
            <sz val="10"/>
            <rFont val="Arial"/>
            <family val="2"/>
          </rPr>
          <t>350
+ USD 150 (gbl fsc processing, per GRP 2026)</t>
        </r>
      </text>
    </comment>
    <comment ref="AL194" authorId="0" shapeId="0" xr:uid="{00000000-0006-0000-0000-0000A3000000}">
      <text>
        <r>
          <rPr>
            <sz val="10"/>
            <rFont val="Arial"/>
            <family val="2"/>
          </rPr>
          <t>0
(5,000 USD minimum deposit)</t>
        </r>
      </text>
    </comment>
    <comment ref="AL195" authorId="0" shapeId="0" xr:uid="{00000000-0006-0000-0000-0000A4000000}">
      <text>
        <r>
          <rPr>
            <sz val="10"/>
            <rFont val="Arial"/>
            <family val="2"/>
          </rPr>
          <t>0
(5,000 USD minimum deposit)</t>
        </r>
      </text>
    </comment>
    <comment ref="AL196" authorId="0" shapeId="0" xr:uid="{00000000-0006-0000-0000-0000A5000000}">
      <text>
        <r>
          <rPr>
            <sz val="10"/>
            <rFont val="Arial"/>
            <family val="2"/>
          </rPr>
          <t>0
(5,000 USD minimum deposit)</t>
        </r>
      </text>
    </comment>
    <comment ref="AL197" authorId="0" shapeId="0" xr:uid="{00000000-0006-0000-0000-0000A6000000}">
      <text>
        <r>
          <rPr>
            <sz val="10"/>
            <rFont val="Arial"/>
            <family val="2"/>
          </rPr>
          <t>0
(5,000 USD minimum deposit)</t>
        </r>
      </text>
    </comment>
    <comment ref="AL198" authorId="0" shapeId="0" xr:uid="{00000000-0006-0000-0000-0000A7000000}">
      <text>
        <r>
          <rPr>
            <sz val="10"/>
            <rFont val="Arial"/>
            <family val="2"/>
          </rPr>
          <t>0
(5,000 USD minimum deposit)</t>
        </r>
      </text>
    </comment>
    <comment ref="AL199" authorId="0" shapeId="0" xr:uid="{00000000-0006-0000-0000-0000A8000000}">
      <text>
        <r>
          <rPr>
            <sz val="10"/>
            <rFont val="Arial"/>
            <family val="2"/>
          </rPr>
          <t>0
(5,000 USD minimum deposit)</t>
        </r>
      </text>
    </comment>
    <comment ref="CD199" authorId="0" shapeId="0" xr:uid="{00000000-0006-0000-0000-000018010000}">
      <text>
        <r>
          <rPr>
            <sz val="10"/>
            <rFont val="Arial"/>
            <family val="2"/>
          </rPr>
          <t>USD 2,000–8,000 (AUM-tiered)</t>
        </r>
      </text>
    </comment>
    <comment ref="AL200" authorId="0" shapeId="0" xr:uid="{00000000-0006-0000-0000-0000A9000000}">
      <text>
        <r>
          <rPr>
            <sz val="10"/>
            <rFont val="Arial"/>
            <family val="2"/>
          </rPr>
          <t>0
(5,000 USD minimum deposit)</t>
        </r>
      </text>
    </comment>
    <comment ref="CB200" authorId="0" shapeId="0" xr:uid="{00000000-0006-0000-0000-000016010000}">
      <text>
        <r>
          <rPr>
            <sz val="10"/>
            <rFont val="Arial"/>
            <family val="2"/>
          </rPr>
          <t>0.45% AUA  (2,000 USD per month minimum fee)</t>
        </r>
      </text>
    </comment>
    <comment ref="CF200" authorId="0" shapeId="0" xr:uid="{00000000-0006-0000-0000-00001A010000}">
      <text>
        <r>
          <rPr>
            <sz val="10"/>
            <rFont val="Arial"/>
            <family val="2"/>
          </rPr>
          <t>250 USD per investor</t>
        </r>
      </text>
    </comment>
    <comment ref="AL203" authorId="0" shapeId="0" xr:uid="{00000000-0006-0000-0000-0000AA000000}">
      <text>
        <r>
          <rPr>
            <sz val="10"/>
            <rFont val="Arial"/>
            <family val="2"/>
          </rPr>
          <t>0
(5,000 USD minimum deposit)</t>
        </r>
      </text>
    </comment>
    <comment ref="AL204" authorId="0" shapeId="0" xr:uid="{00000000-0006-0000-0000-0000AB000000}">
      <text>
        <r>
          <rPr>
            <sz val="10"/>
            <rFont val="Arial"/>
            <family val="2"/>
          </rPr>
          <t>0
(5,000 USD minimum deposit)</t>
        </r>
      </text>
    </comment>
    <comment ref="AD205" authorId="0" shapeId="0" xr:uid="{00000000-0006-0000-0000-000005000000}">
      <text>
        <r>
          <rPr>
            <sz val="10"/>
            <rFont val="Arial"/>
            <family val="2"/>
          </rPr>
          <t>US 10,000</t>
        </r>
      </text>
    </comment>
    <comment ref="AL205" authorId="0" shapeId="0" xr:uid="{00000000-0006-0000-0000-0000AC000000}">
      <text>
        <r>
          <rPr>
            <sz val="10"/>
            <rFont val="Arial"/>
            <family val="2"/>
          </rPr>
          <t>0
(5,000 USD minimum deposit)</t>
        </r>
      </text>
    </comment>
    <comment ref="AL207" authorId="0" shapeId="0" xr:uid="{00000000-0006-0000-0000-0000AD000000}">
      <text>
        <r>
          <rPr>
            <sz val="10"/>
            <rFont val="Arial"/>
            <family val="2"/>
          </rPr>
          <t>0
(5,000 USD minimum deposit)</t>
        </r>
      </text>
    </comment>
    <comment ref="AL208" authorId="0" shapeId="0" xr:uid="{00000000-0006-0000-0000-0000AE000000}">
      <text>
        <r>
          <rPr>
            <sz val="10"/>
            <rFont val="Arial"/>
            <family val="2"/>
          </rPr>
          <t>0
(5,000 USD minimum deposit)</t>
        </r>
      </text>
    </comment>
    <comment ref="AL209" authorId="0" shapeId="0" xr:uid="{00000000-0006-0000-0000-0000AF000000}">
      <text>
        <r>
          <rPr>
            <sz val="10"/>
            <rFont val="Arial"/>
            <family val="2"/>
          </rPr>
          <t>0
(5,000 USD minimum deposit)</t>
        </r>
      </text>
    </comment>
    <comment ref="AL210" authorId="0" shapeId="0" xr:uid="{00000000-0006-0000-0000-0000B0000000}">
      <text>
        <r>
          <rPr>
            <sz val="10"/>
            <rFont val="Arial"/>
            <family val="2"/>
          </rPr>
          <t>0
(5,000 USD minimum deposit)</t>
        </r>
      </text>
    </comment>
    <comment ref="AL211" authorId="0" shapeId="0" xr:uid="{00000000-0006-0000-0000-0000B1000000}">
      <text>
        <r>
          <rPr>
            <sz val="10"/>
            <rFont val="Arial"/>
            <family val="2"/>
          </rPr>
          <t>0
(5,000 USD minimum deposit)</t>
        </r>
      </text>
    </comment>
    <comment ref="AL212" authorId="0" shapeId="0" xr:uid="{00000000-0006-0000-0000-0000B2000000}">
      <text>
        <r>
          <rPr>
            <sz val="10"/>
            <rFont val="Arial"/>
            <family val="2"/>
          </rPr>
          <t>0
(5,000 USD minimum deposit)</t>
        </r>
      </text>
    </comment>
    <comment ref="AL216" authorId="0" shapeId="0" xr:uid="{00000000-0006-0000-0000-0000B3000000}">
      <text>
        <r>
          <rPr>
            <sz val="10"/>
            <rFont val="Arial"/>
            <family val="2"/>
          </rPr>
          <t>0
(5,000 USD minimum deposit)</t>
        </r>
      </text>
    </comment>
    <comment ref="AL217" authorId="0" shapeId="0" xr:uid="{00000000-0006-0000-0000-0000B4000000}">
      <text>
        <r>
          <rPr>
            <sz val="10"/>
            <rFont val="Arial"/>
            <family val="2"/>
          </rPr>
          <t>0
(5,000 USD minimum deposit)</t>
        </r>
      </text>
    </comment>
    <comment ref="AL218" authorId="0" shapeId="0" xr:uid="{00000000-0006-0000-0000-0000B5000000}">
      <text>
        <r>
          <rPr>
            <sz val="10"/>
            <rFont val="Arial"/>
            <family val="2"/>
          </rPr>
          <t>0
(5,000 USD minimum deposit)</t>
        </r>
      </text>
    </comment>
    <comment ref="AD219" authorId="0" shapeId="0" xr:uid="{00000000-0006-0000-0000-000006000000}">
      <text>
        <r>
          <rPr>
            <sz val="10"/>
            <rFont val="Arial"/>
            <family val="2"/>
          </rPr>
          <t>USD 4,000 (formation of a limited partnership)
USD 650 (filing fee to register the)</t>
        </r>
      </text>
    </comment>
    <comment ref="AL219" authorId="0" shapeId="0" xr:uid="{00000000-0006-0000-0000-0000B6000000}">
      <text>
        <r>
          <rPr>
            <sz val="10"/>
            <rFont val="Arial"/>
            <family val="2"/>
          </rPr>
          <t>0
(5,000 USD minimum deposit)</t>
        </r>
      </text>
    </comment>
    <comment ref="AL224" authorId="0" shapeId="0" xr:uid="{00000000-0006-0000-0000-0000B7000000}">
      <text>
        <r>
          <rPr>
            <sz val="10"/>
            <rFont val="Arial"/>
            <family val="2"/>
          </rPr>
          <t>0
(5,000 USD minimum deposit)</t>
        </r>
      </text>
    </comment>
    <comment ref="AL225" authorId="0" shapeId="0" xr:uid="{00000000-0006-0000-0000-0000B8000000}">
      <text>
        <r>
          <rPr>
            <sz val="10"/>
            <rFont val="Arial"/>
            <family val="2"/>
          </rPr>
          <t>0
(5,000 USD minimum deposit)</t>
        </r>
      </text>
    </comment>
    <comment ref="AL227" authorId="0" shapeId="0" xr:uid="{00000000-0006-0000-0000-0000B9000000}">
      <text>
        <r>
          <rPr>
            <sz val="10"/>
            <rFont val="Arial"/>
            <family val="2"/>
          </rPr>
          <t>0
(5,000 USD minimum deposit)</t>
        </r>
      </text>
    </comment>
    <comment ref="AV227" authorId="0" shapeId="0" xr:uid="{00000000-0006-0000-0000-0000EE000000}">
      <text>
        <r>
          <rPr>
            <sz val="10"/>
            <rFont val="Arial"/>
            <family val="2"/>
          </rPr>
          <t>USD 1500 (Manila)
USD 500 (Davao)</t>
        </r>
      </text>
    </comment>
    <comment ref="AZ227" authorId="0" shapeId="0" xr:uid="{00000000-0006-0000-0000-0000F4000000}">
      <text>
        <r>
          <rPr>
            <sz val="10"/>
            <rFont val="Arial"/>
            <family val="2"/>
          </rPr>
          <t>Min of USD 500 for small companies. Local business permit renewal fees depends on city, capitalization/gross sales, and business activity</t>
        </r>
      </text>
    </comment>
    <comment ref="BD227" authorId="0" shapeId="0" xr:uid="{00000000-0006-0000-0000-0000FC000000}">
      <text>
        <r>
          <rPr>
            <sz val="10"/>
            <rFont val="Arial"/>
            <family val="2"/>
          </rPr>
          <t>USD 1800 up to 50 transactions annually</t>
        </r>
      </text>
    </comment>
    <comment ref="BF227" authorId="0" shapeId="0" xr:uid="{00000000-0006-0000-0000-000003010000}">
      <text>
        <r>
          <rPr>
            <sz val="10"/>
            <rFont val="Arial"/>
            <family val="2"/>
          </rPr>
          <t>USD 7500 covers all government mandatory filings</t>
        </r>
      </text>
    </comment>
    <comment ref="BJ227" authorId="0" shapeId="0" xr:uid="{00000000-0006-0000-0000-00000C010000}">
      <text>
        <r>
          <rPr>
            <sz val="10"/>
            <rFont val="Arial"/>
            <family val="2"/>
          </rPr>
          <t>Average of USD 1700 
fee varies per company size, capitalization, complexity of operations</t>
        </r>
      </text>
    </comment>
    <comment ref="AL229" authorId="0" shapeId="0" xr:uid="{00000000-0006-0000-0000-0000BA000000}">
      <text>
        <r>
          <rPr>
            <sz val="10"/>
            <rFont val="Arial"/>
            <family val="2"/>
          </rPr>
          <t>0
(5,000 USD minimum deposit)</t>
        </r>
      </text>
    </comment>
    <comment ref="AL230" authorId="0" shapeId="0" xr:uid="{00000000-0006-0000-0000-0000BB000000}">
      <text>
        <r>
          <rPr>
            <sz val="10"/>
            <rFont val="Arial"/>
            <family val="2"/>
          </rPr>
          <t>0
(5,000 USD minimum deposit)</t>
        </r>
      </text>
    </comment>
    <comment ref="AL231" authorId="0" shapeId="0" xr:uid="{00000000-0006-0000-0000-0000BC000000}">
      <text>
        <r>
          <rPr>
            <sz val="10"/>
            <rFont val="Arial"/>
            <family val="2"/>
          </rPr>
          <t>0
(5,000 USD minimum deposit)</t>
        </r>
      </text>
    </comment>
    <comment ref="AL232" authorId="0" shapeId="0" xr:uid="{00000000-0006-0000-0000-0000BD000000}">
      <text>
        <r>
          <rPr>
            <sz val="10"/>
            <rFont val="Arial"/>
            <family val="2"/>
          </rPr>
          <t>0
(5,000 USD minimum deposit)</t>
        </r>
      </text>
    </comment>
    <comment ref="AL233" authorId="0" shapeId="0" xr:uid="{00000000-0006-0000-0000-0000BE000000}">
      <text>
        <r>
          <rPr>
            <sz val="10"/>
            <rFont val="Arial"/>
            <family val="2"/>
          </rPr>
          <t>0
(5,000 USD minimum deposit)</t>
        </r>
      </text>
    </comment>
    <comment ref="AL237" authorId="0" shapeId="0" xr:uid="{00000000-0006-0000-0000-0000BF000000}">
      <text>
        <r>
          <rPr>
            <sz val="10"/>
            <rFont val="Arial"/>
            <family val="2"/>
          </rPr>
          <t>0
(5,000 USD minimum deposit)</t>
        </r>
      </text>
    </comment>
    <comment ref="AL239" authorId="0" shapeId="0" xr:uid="{00000000-0006-0000-0000-0000C0000000}">
      <text>
        <r>
          <rPr>
            <sz val="10"/>
            <rFont val="Arial"/>
            <family val="2"/>
          </rPr>
          <t>0
(5,000 USD minimum deposit)</t>
        </r>
      </text>
    </comment>
    <comment ref="AL242" authorId="0" shapeId="0" xr:uid="{00000000-0006-0000-0000-0000C1000000}">
      <text>
        <r>
          <rPr>
            <sz val="10"/>
            <rFont val="Arial"/>
            <family val="2"/>
          </rPr>
          <t>0
(5,000 USD minimum deposit)</t>
        </r>
      </text>
    </comment>
    <comment ref="AL243" authorId="0" shapeId="0" xr:uid="{00000000-0006-0000-0000-0000C2000000}">
      <text>
        <r>
          <rPr>
            <sz val="10"/>
            <rFont val="Arial"/>
            <family val="2"/>
          </rPr>
          <t>0
(5,000 USD minimum deposit)</t>
        </r>
      </text>
    </comment>
    <comment ref="AL244" authorId="0" shapeId="0" xr:uid="{00000000-0006-0000-0000-0000C3000000}">
      <text>
        <r>
          <rPr>
            <sz val="10"/>
            <rFont val="Arial"/>
            <family val="2"/>
          </rPr>
          <t>0
(5,000 USD minimum deposit)</t>
        </r>
      </text>
    </comment>
    <comment ref="BD244" authorId="0" shapeId="0" xr:uid="{00000000-0006-0000-0000-0000FD000000}">
      <text>
        <r>
          <rPr>
            <sz val="10"/>
            <rFont val="Arial"/>
            <family val="2"/>
          </rPr>
          <t>SGD 300 (accounting)
SGD 500 (accounting and financial statements)</t>
        </r>
      </text>
    </comment>
    <comment ref="AL245" authorId="0" shapeId="0" xr:uid="{00000000-0006-0000-0000-0000C4000000}">
      <text>
        <r>
          <rPr>
            <sz val="10"/>
            <rFont val="Arial"/>
            <family val="2"/>
          </rPr>
          <t>0
(5,000 USD minimum deposit)</t>
        </r>
      </text>
    </comment>
    <comment ref="AL246" authorId="0" shapeId="0" xr:uid="{00000000-0006-0000-0000-0000C5000000}">
      <text>
        <r>
          <rPr>
            <sz val="10"/>
            <rFont val="Arial"/>
            <family val="2"/>
          </rPr>
          <t>0
(5,000 USD minimum deposit)</t>
        </r>
      </text>
    </comment>
    <comment ref="AL247" authorId="0" shapeId="0" xr:uid="{00000000-0006-0000-0000-0000C6000000}">
      <text>
        <r>
          <rPr>
            <sz val="10"/>
            <rFont val="Arial"/>
            <family val="2"/>
          </rPr>
          <t>0
(5,000 USD minimum deposit)</t>
        </r>
      </text>
    </comment>
    <comment ref="AL248" authorId="0" shapeId="0" xr:uid="{00000000-0006-0000-0000-0000C7000000}">
      <text>
        <r>
          <rPr>
            <sz val="10"/>
            <rFont val="Arial"/>
            <family val="2"/>
          </rPr>
          <t>0
(5,000 USD minimum deposit)</t>
        </r>
      </text>
    </comment>
    <comment ref="BZ248" authorId="0" shapeId="0" xr:uid="{00000000-0006-0000-0000-000012010000}">
      <text>
        <r>
          <rPr>
            <sz val="10"/>
            <rFont val="Arial"/>
            <family val="2"/>
          </rPr>
          <t>0.45 % of AUA</t>
        </r>
      </text>
    </comment>
    <comment ref="CB248" authorId="0" shapeId="0" xr:uid="{00000000-0006-0000-0000-000017010000}">
      <text>
        <r>
          <rPr>
            <sz val="10"/>
            <rFont val="Arial"/>
            <family val="2"/>
          </rPr>
          <t>2,000 USD per month minimum fee</t>
        </r>
      </text>
    </comment>
    <comment ref="CF248" authorId="0" shapeId="0" xr:uid="{00000000-0006-0000-0000-00001B010000}">
      <text>
        <r>
          <rPr>
            <sz val="10"/>
            <rFont val="Arial"/>
            <family val="2"/>
          </rPr>
          <t>250 USD per investor</t>
        </r>
      </text>
    </comment>
    <comment ref="AL249" authorId="0" shapeId="0" xr:uid="{00000000-0006-0000-0000-0000C8000000}">
      <text>
        <r>
          <rPr>
            <sz val="10"/>
            <rFont val="Arial"/>
            <family val="2"/>
          </rPr>
          <t>0
(5,000 USD minimum deposit)</t>
        </r>
      </text>
    </comment>
    <comment ref="AL250" authorId="0" shapeId="0" xr:uid="{00000000-0006-0000-0000-0000C9000000}">
      <text>
        <r>
          <rPr>
            <sz val="10"/>
            <rFont val="Arial"/>
            <family val="2"/>
          </rPr>
          <t>0
(5,000 USD minimum deposit)</t>
        </r>
      </text>
    </comment>
    <comment ref="AL251" authorId="0" shapeId="0" xr:uid="{00000000-0006-0000-0000-0000CA000000}">
      <text>
        <r>
          <rPr>
            <sz val="10"/>
            <rFont val="Arial"/>
            <family val="2"/>
          </rPr>
          <t>0
(5,000 USD minimum deposit)</t>
        </r>
      </text>
    </comment>
    <comment ref="AL252" authorId="0" shapeId="0" xr:uid="{00000000-0006-0000-0000-0000CB000000}">
      <text>
        <r>
          <rPr>
            <sz val="10"/>
            <rFont val="Arial"/>
            <family val="2"/>
          </rPr>
          <t>0
(5,000 USD minimum deposit)</t>
        </r>
      </text>
    </comment>
    <comment ref="AL254" authorId="0" shapeId="0" xr:uid="{00000000-0006-0000-0000-0000CC000000}">
      <text>
        <r>
          <rPr>
            <sz val="10"/>
            <rFont val="Arial"/>
            <family val="2"/>
          </rPr>
          <t>0
(5,000 USD minimum deposit)</t>
        </r>
      </text>
    </comment>
    <comment ref="AL255" authorId="0" shapeId="0" xr:uid="{00000000-0006-0000-0000-0000CD000000}">
      <text>
        <r>
          <rPr>
            <sz val="10"/>
            <rFont val="Arial"/>
            <family val="2"/>
          </rPr>
          <t>0
(5,000 USD minimum deposit)</t>
        </r>
      </text>
    </comment>
    <comment ref="AL256" authorId="0" shapeId="0" xr:uid="{00000000-0006-0000-0000-0000CE000000}">
      <text>
        <r>
          <rPr>
            <sz val="10"/>
            <rFont val="Arial"/>
            <family val="2"/>
          </rPr>
          <t>0
(5,000 USD minimum deposit)</t>
        </r>
      </text>
    </comment>
    <comment ref="AL257" authorId="0" shapeId="0" xr:uid="{00000000-0006-0000-0000-0000CF000000}">
      <text>
        <r>
          <rPr>
            <sz val="10"/>
            <rFont val="Arial"/>
            <family val="2"/>
          </rPr>
          <t>0
(5,000 USD minimum deposit)</t>
        </r>
      </text>
    </comment>
    <comment ref="AL258" authorId="0" shapeId="0" xr:uid="{00000000-0006-0000-0000-0000D0000000}">
      <text>
        <r>
          <rPr>
            <sz val="10"/>
            <rFont val="Arial"/>
            <family val="2"/>
          </rPr>
          <t>0
(5,000 USD minimum deposit)</t>
        </r>
      </text>
    </comment>
    <comment ref="AR258" authorId="0" shapeId="0" xr:uid="{00000000-0006-0000-0000-0000EB000000}">
      <text>
        <r>
          <rPr>
            <sz val="10"/>
            <rFont val="Arial"/>
            <family val="2"/>
          </rPr>
          <t>USD 7,000–30,000 p.a. (AUM-tiered; &gt;USD 20M case-by-case, min USD 45,000)</t>
        </r>
      </text>
    </comment>
    <comment ref="BL258" authorId="0" shapeId="0" xr:uid="{00000000-0006-0000-0000-00000D010000}">
      <text>
        <r>
          <rPr>
            <sz val="10"/>
            <rFont val="Arial"/>
            <family val="2"/>
          </rPr>
          <t>USD 350 (annual administrative review)
USD 500 (annual compliance review)</t>
        </r>
      </text>
    </comment>
    <comment ref="AL259" authorId="0" shapeId="0" xr:uid="{00000000-0006-0000-0000-0000D1000000}">
      <text>
        <r>
          <rPr>
            <sz val="10"/>
            <rFont val="Arial"/>
            <family val="2"/>
          </rPr>
          <t>0
(5,000 USD minimum deposit)</t>
        </r>
      </text>
    </comment>
    <comment ref="AR259" authorId="0" shapeId="0" xr:uid="{00000000-0006-0000-0000-0000EC000000}">
      <text>
        <r>
          <rPr>
            <sz val="10"/>
            <rFont val="Arial"/>
            <family val="2"/>
          </rPr>
          <t>USD 7,000–30,000 p.a. (AUM-tiered; &gt;USD 20M case-by-case, min USD 45,000)</t>
        </r>
      </text>
    </comment>
    <comment ref="BL259" authorId="0" shapeId="0" xr:uid="{00000000-0006-0000-0000-00000E010000}">
      <text>
        <r>
          <rPr>
            <sz val="10"/>
            <rFont val="Arial"/>
            <family val="2"/>
          </rPr>
          <t>USD 350 (annual administrative review)
USD 500 (annual compliance review)</t>
        </r>
      </text>
    </comment>
    <comment ref="AL260" authorId="0" shapeId="0" xr:uid="{00000000-0006-0000-0000-0000D2000000}">
      <text>
        <r>
          <rPr>
            <sz val="10"/>
            <rFont val="Arial"/>
            <family val="2"/>
          </rPr>
          <t>0
(5,000 USD minimum deposit)</t>
        </r>
      </text>
    </comment>
    <comment ref="AR260" authorId="0" shapeId="0" xr:uid="{00000000-0006-0000-0000-0000ED000000}">
      <text>
        <r>
          <rPr>
            <sz val="10"/>
            <rFont val="Arial"/>
            <family val="2"/>
          </rPr>
          <t>USD 7,000–30,000 p.a. (AUM-tiered; &gt;USD 20M case-by-case, min USD 45,000)</t>
        </r>
      </text>
    </comment>
    <comment ref="BL260" authorId="0" shapeId="0" xr:uid="{00000000-0006-0000-0000-00000F010000}">
      <text>
        <r>
          <rPr>
            <sz val="10"/>
            <rFont val="Arial"/>
            <family val="2"/>
          </rPr>
          <t>USD 350 (annual administrative review)
USD 500 (annual compliance review)</t>
        </r>
      </text>
    </comment>
    <comment ref="AL262" authorId="0" shapeId="0" xr:uid="{00000000-0006-0000-0000-0000D3000000}">
      <text>
        <r>
          <rPr>
            <sz val="10"/>
            <rFont val="Arial"/>
            <family val="2"/>
          </rPr>
          <t>0
(5,000 USD minimum deposit)</t>
        </r>
      </text>
    </comment>
    <comment ref="BF262" authorId="0" shapeId="0" xr:uid="{00000000-0006-0000-0000-000004010000}">
      <text>
        <r>
          <rPr>
            <sz val="10"/>
            <rFont val="Arial"/>
            <family val="2"/>
          </rPr>
          <t>EUR 760 (CIT) other tax forms EUR 1,500 a year
+ EUR 1,200 (preparation of profit tax returns, per GRP 2026)</t>
        </r>
      </text>
    </comment>
    <comment ref="AL263" authorId="0" shapeId="0" xr:uid="{00000000-0006-0000-0000-0000D4000000}">
      <text>
        <r>
          <rPr>
            <sz val="10"/>
            <rFont val="Arial"/>
            <family val="2"/>
          </rPr>
          <t>0
(5,000 USD minimum deposit)</t>
        </r>
      </text>
    </comment>
    <comment ref="AN263" authorId="0" shapeId="0" xr:uid="{00000000-0006-0000-0000-0000EA000000}">
      <text>
        <r>
          <rPr>
            <sz val="10"/>
            <rFont val="Arial"/>
            <family val="2"/>
          </rPr>
          <t>EUR 1,000 (opening a local bank account)
EUR 1,500 (opening a bank account with)</t>
        </r>
      </text>
    </comment>
    <comment ref="BF263" authorId="0" shapeId="0" xr:uid="{00000000-0006-0000-0000-000005010000}">
      <text>
        <r>
          <rPr>
            <sz val="10"/>
            <rFont val="Arial"/>
            <family val="2"/>
          </rPr>
          <t>EUR 760 (CIT) other tax forms EUR 1,500 a year
+ EUR 1,200 (preparation of profit tax returns, per GRP 2026)</t>
        </r>
      </text>
    </comment>
    <comment ref="AL264" authorId="0" shapeId="0" xr:uid="{00000000-0006-0000-0000-0000D5000000}">
      <text>
        <r>
          <rPr>
            <sz val="10"/>
            <rFont val="Arial"/>
            <family val="2"/>
          </rPr>
          <t>0
(5,000 USD minimum deposit)</t>
        </r>
      </text>
    </comment>
    <comment ref="AL265" authorId="0" shapeId="0" xr:uid="{00000000-0006-0000-0000-0000D6000000}">
      <text>
        <r>
          <rPr>
            <sz val="10"/>
            <rFont val="Arial"/>
            <family val="2"/>
          </rPr>
          <t>0
(5,000 USD minimum deposit)</t>
        </r>
      </text>
    </comment>
    <comment ref="AL266" authorId="0" shapeId="0" xr:uid="{00000000-0006-0000-0000-0000D7000000}">
      <text>
        <r>
          <rPr>
            <sz val="10"/>
            <rFont val="Arial"/>
            <family val="2"/>
          </rPr>
          <t>0
(5,000 USD minimum deposit)</t>
        </r>
      </text>
    </comment>
    <comment ref="AL267" authorId="0" shapeId="0" xr:uid="{00000000-0006-0000-0000-0000D8000000}">
      <text>
        <r>
          <rPr>
            <sz val="10"/>
            <rFont val="Arial"/>
            <family val="2"/>
          </rPr>
          <t>0
(5,000 USD minimum deposit)</t>
        </r>
      </text>
    </comment>
    <comment ref="AL269" authorId="0" shapeId="0" xr:uid="{00000000-0006-0000-0000-0000D9000000}">
      <text>
        <r>
          <rPr>
            <sz val="10"/>
            <rFont val="Arial"/>
            <family val="2"/>
          </rPr>
          <t>0
(5,000 USD minimum deposit)</t>
        </r>
      </text>
    </comment>
    <comment ref="AL270" authorId="0" shapeId="0" xr:uid="{00000000-0006-0000-0000-0000DA000000}">
      <text>
        <r>
          <rPr>
            <sz val="10"/>
            <rFont val="Arial"/>
            <family val="2"/>
          </rPr>
          <t>0
(5,000 USD minimum deposit)</t>
        </r>
      </text>
    </comment>
    <comment ref="AL271" authorId="0" shapeId="0" xr:uid="{00000000-0006-0000-0000-0000DB000000}">
      <text>
        <r>
          <rPr>
            <sz val="10"/>
            <rFont val="Arial"/>
            <family val="2"/>
          </rPr>
          <t>0
(5,000 USD minimum deposit)</t>
        </r>
      </text>
    </comment>
    <comment ref="AL272" authorId="0" shapeId="0" xr:uid="{00000000-0006-0000-0000-0000DC000000}">
      <text>
        <r>
          <rPr>
            <sz val="10"/>
            <rFont val="Arial"/>
            <family val="2"/>
          </rPr>
          <t>0
(5,000 USD minimum deposit)</t>
        </r>
      </text>
    </comment>
    <comment ref="AL275" authorId="0" shapeId="0" xr:uid="{00000000-0006-0000-0000-0000DD000000}">
      <text>
        <r>
          <rPr>
            <sz val="10"/>
            <rFont val="Arial"/>
            <family val="2"/>
          </rPr>
          <t>0
(5,000 USD minimum deposit)</t>
        </r>
      </text>
    </comment>
    <comment ref="AL276" authorId="0" shapeId="0" xr:uid="{00000000-0006-0000-0000-0000DE000000}">
      <text>
        <r>
          <rPr>
            <sz val="10"/>
            <rFont val="Arial"/>
            <family val="2"/>
          </rPr>
          <t>0
(5,000 USD minimum deposit)</t>
        </r>
      </text>
    </comment>
    <comment ref="AL278" authorId="0" shapeId="0" xr:uid="{00000000-0006-0000-0000-0000DF000000}">
      <text>
        <r>
          <rPr>
            <sz val="10"/>
            <rFont val="Arial"/>
            <family val="2"/>
          </rPr>
          <t>0
(5,000 USD minimum deposit)</t>
        </r>
      </text>
    </comment>
    <comment ref="AL280" authorId="0" shapeId="0" xr:uid="{00000000-0006-0000-0000-0000E0000000}">
      <text>
        <r>
          <rPr>
            <sz val="10"/>
            <rFont val="Arial"/>
            <family val="2"/>
          </rPr>
          <t>0
(5,000 USD minimum deposit)</t>
        </r>
      </text>
    </comment>
    <comment ref="AZ280" authorId="0" shapeId="0" xr:uid="{00000000-0006-0000-0000-0000F5000000}">
      <text>
        <r>
          <rPr>
            <sz val="10"/>
            <rFont val="Arial"/>
            <family val="2"/>
          </rPr>
          <t>USD 650 (annual chamber of commerce fee)
USD 385 (initial government registration fee)</t>
        </r>
      </text>
    </comment>
    <comment ref="AL281" authorId="0" shapeId="0" xr:uid="{00000000-0006-0000-0000-0000E1000000}">
      <text>
        <r>
          <rPr>
            <sz val="10"/>
            <rFont val="Arial"/>
            <family val="2"/>
          </rPr>
          <t>0
(5,000 USD minimum deposit)</t>
        </r>
      </text>
    </comment>
    <comment ref="AL282" authorId="0" shapeId="0" xr:uid="{00000000-0006-0000-0000-0000E2000000}">
      <text>
        <r>
          <rPr>
            <sz val="10"/>
            <rFont val="Arial"/>
            <family val="2"/>
          </rPr>
          <t>0
(5,000 USD minimum deposit)</t>
        </r>
      </text>
    </comment>
    <comment ref="AL283" authorId="0" shapeId="0" xr:uid="{00000000-0006-0000-0000-0000E3000000}">
      <text>
        <r>
          <rPr>
            <sz val="10"/>
            <rFont val="Arial"/>
            <family val="2"/>
          </rPr>
          <t>0
(5,000 USD minimum deposit)</t>
        </r>
      </text>
    </comment>
    <comment ref="AL286" authorId="0" shapeId="0" xr:uid="{00000000-0006-0000-0000-0000E4000000}">
      <text>
        <r>
          <rPr>
            <sz val="10"/>
            <rFont val="Arial"/>
            <family val="2"/>
          </rPr>
          <t>0
(5,000 USD minimum deposit)</t>
        </r>
      </text>
    </comment>
    <comment ref="AL288" authorId="0" shapeId="0" xr:uid="{00000000-0006-0000-0000-0000E5000000}">
      <text>
        <r>
          <rPr>
            <sz val="10"/>
            <rFont val="Arial"/>
            <family val="2"/>
          </rPr>
          <t>0
(5,000 USD minimum deposit)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<sst xmlns="http://schemas.openxmlformats.org/spreadsheetml/2006/main" count="19588" uniqueCount="2653">
  <si>
    <t>Amicorp Self-Service Portal — Complete Entity Fee &amp; Product Information</t>
  </si>
  <si>
    <t>Indicative fees only — subject to local office confirmation, client profile, complexity, and applicable taxes. Rows marked † have no line-item fee schedule; Setup and Annual totals shown. Filing Required = Yes where income tax or annual financial statements/regulatory return is required. Hourly rates: USD 100–750/hr where not otherwise specified.</t>
  </si>
  <si>
    <t>Entity Information</t>
  </si>
  <si>
    <t>Product Content</t>
  </si>
  <si>
    <t>Enrichment — Structure &amp; Regulation</t>
  </si>
  <si>
    <t>Setup Fee (One-off)</t>
  </si>
  <si>
    <t>Annual Resposibility Fees  (Recurring)</t>
  </si>
  <si>
    <t>Reporting &amp; Compliance
(As Required)</t>
  </si>
  <si>
    <t>Set-up Fee (on-off)</t>
  </si>
  <si>
    <t>FATCA / CRS / ESR / MDR Items</t>
  </si>
  <si>
    <t>Hourly Rates</t>
  </si>
  <si>
    <t>Country</t>
  </si>
  <si>
    <t>LMT Member</t>
  </si>
  <si>
    <t>Service Type</t>
  </si>
  <si>
    <t>Entity / Product</t>
  </si>
  <si>
    <t>Currency</t>
  </si>
  <si>
    <t>Description</t>
  </si>
  <si>
    <t>Overview</t>
  </si>
  <si>
    <t>Setup Time</t>
  </si>
  <si>
    <t>Ongoing Compliance</t>
  </si>
  <si>
    <t>Benefit 1</t>
  </si>
  <si>
    <t>Benefit 2</t>
  </si>
  <si>
    <t>Benefit 3</t>
  </si>
  <si>
    <t>Benefit 4</t>
  </si>
  <si>
    <t>Ideal for 1</t>
  </si>
  <si>
    <t>Ideal for 2</t>
  </si>
  <si>
    <t>Ideal for 3</t>
  </si>
  <si>
    <t>Ideal for 4</t>
  </si>
  <si>
    <t>Key Feature 1</t>
  </si>
  <si>
    <t>Key Feature 2</t>
  </si>
  <si>
    <t>Key Feature 3</t>
  </si>
  <si>
    <t>Key Feature 4</t>
  </si>
  <si>
    <t>Entity Type
Category</t>
  </si>
  <si>
    <t>Legal
Framework</t>
  </si>
  <si>
    <t>Liability
Protection</t>
  </si>
  <si>
    <t>Regulatory Body /
Key Statute</t>
  </si>
  <si>
    <t>Public
Register</t>
  </si>
  <si>
    <t>Min
Shareholders</t>
  </si>
  <si>
    <t>Typical
Use Case</t>
  </si>
  <si>
    <t>Risk /
Restriction</t>
  </si>
  <si>
    <t>Setup Fee</t>
  </si>
  <si>
    <t>M/O</t>
  </si>
  <si>
    <t>Incorporation Third Party Expenses</t>
  </si>
  <si>
    <t>Tax identification code</t>
  </si>
  <si>
    <t>UBO classification and registry</t>
  </si>
  <si>
    <t>Bank Account Opening with Amicorp Bank &amp; Trust</t>
  </si>
  <si>
    <t>Bank Account Opening Third Party Bank (retainer)</t>
  </si>
  <si>
    <t>Corporate
Director Fee</t>
  </si>
  <si>
    <t>Trustee Fee</t>
  </si>
  <si>
    <t>Personal Director
Fee</t>
  </si>
  <si>
    <t>Registered
Office Fee</t>
  </si>
  <si>
    <t>Corporate
Secretary Fee</t>
  </si>
  <si>
    <t>Government
Fee</t>
  </si>
  <si>
    <t>Regulatory Authority Fee</t>
  </si>
  <si>
    <t>Accounting
(Retainer)</t>
  </si>
  <si>
    <t>Tax Filing
(Retainer)</t>
  </si>
  <si>
    <t>Annual General Meeting / Board Minutes</t>
  </si>
  <si>
    <t>Audit 
(External Auditors)</t>
  </si>
  <si>
    <t>Compliance Fee</t>
  </si>
  <si>
    <t>Economic Substance Filing</t>
  </si>
  <si>
    <t>UBO Registry Filing</t>
  </si>
  <si>
    <t>Fund Formation (Retainer)</t>
  </si>
  <si>
    <t>Fund Compartment Formation</t>
  </si>
  <si>
    <t xml:space="preserve">Preparation of Private Placement Memorandum </t>
  </si>
  <si>
    <t>Regulatory fees</t>
  </si>
  <si>
    <t>Fund Management Services</t>
  </si>
  <si>
    <t xml:space="preserve">Fund Administration &amp; NAV calculation </t>
  </si>
  <si>
    <t>Registrar and transfer agent</t>
  </si>
  <si>
    <t xml:space="preserve">Investor KYC and subscription </t>
  </si>
  <si>
    <t>Fund Director</t>
  </si>
  <si>
    <t>Money Laundering Reporting Officer (Retainer)</t>
  </si>
  <si>
    <t>Annual audit coordination (Retainer)</t>
  </si>
  <si>
    <t>Financial Statements (Retainer)</t>
  </si>
  <si>
    <t>FATCA/CRS classification (one-off)</t>
  </si>
  <si>
    <t xml:space="preserve">ESR classification (one-off): </t>
  </si>
  <si>
    <t xml:space="preserve">ESR Annual Declaration: USD 125 (fees may vary subject to ESR classification) </t>
  </si>
  <si>
    <t xml:space="preserve">ESR Annual Notification: USD 165 </t>
  </si>
  <si>
    <t>Legal and Corporate work (Retainer)</t>
  </si>
  <si>
    <t>Accounting and tax filing (Retainer)</t>
  </si>
  <si>
    <t>Hourly Rates
(Legal &amp; Accounting)</t>
  </si>
  <si>
    <t>Disbursements (7.5%)</t>
  </si>
  <si>
    <t>3rd Sheet</t>
  </si>
  <si>
    <t>1stSheet</t>
  </si>
  <si>
    <t>Check</t>
  </si>
  <si>
    <t xml:space="preserve">   BAHAMAS</t>
  </si>
  <si>
    <t>##</t>
  </si>
  <si>
    <t>Bahamas</t>
  </si>
  <si>
    <t xml:space="preserve">Marvin Taylor </t>
  </si>
  <si>
    <t>Company</t>
  </si>
  <si>
    <t>Bahamas IBC</t>
  </si>
  <si>
    <t>USD</t>
  </si>
  <si>
    <t>International Business Company offering tax-neutral structure for international trade and investment holding.</t>
  </si>
  <si>
    <t>The Bahamas IBC is a entity structure regulated under local law and widely used by international clients of Amicorp. International Business Company offering tax-neutral structure for international trade and investment holding. Our local team manages incorporation, ongoing administration, accounting, and compliance so you can focus on commercial objectives instead of paperwork.</t>
  </si>
  <si>
    <t>3-7 business days</t>
  </si>
  <si>
    <t>Annual return, financial statements filing, and economic substance / UBO declarations</t>
  </si>
  <si>
    <t>Established Bahamas legal framework familiar to investors, banks, and counterparties</t>
  </si>
  <si>
    <t>End-to-end Amicorp service: incorporation, registered office, directors, accounting, and reporting</t>
  </si>
  <si>
    <t>Treaty network and regulatory standing supporting cross-border investment and capital flows</t>
  </si>
  <si>
    <t>Single point of contact across 30+ jurisdictions for multi-entity group structures</t>
  </si>
  <si>
    <t>Holding investments into and out of Bahamas</t>
  </si>
  <si>
    <t>Group holding companies and intermediate SPVs</t>
  </si>
  <si>
    <t>Joint ventures and shareholder agreements</t>
  </si>
  <si>
    <t>Operating subsidiaries with local market access</t>
  </si>
  <si>
    <t>Limited liability for shareholders</t>
  </si>
  <si>
    <t>Separate legal entity</t>
  </si>
  <si>
    <t>Flexible management structure</t>
  </si>
  <si>
    <t>Tax efficient</t>
  </si>
  <si>
    <t>IBC</t>
  </si>
  <si>
    <t>Common Law</t>
  </si>
  <si>
    <t>Full</t>
  </si>
  <si>
    <t>Bahamas Registrar General
International Business Companies Act 2000</t>
  </si>
  <si>
    <t>No</t>
  </si>
  <si>
    <t>1</t>
  </si>
  <si>
    <t>Cross-border holding of securities, IP, or real estate outside the Bahamas</t>
  </si>
  <si>
    <t>Cannot trade within Bahamas; economic substance rules apply for certain activities</t>
  </si>
  <si>
    <t>M</t>
  </si>
  <si>
    <t>O</t>
  </si>
  <si>
    <t>N/A</t>
  </si>
  <si>
    <t>—</t>
  </si>
  <si>
    <t xml:space="preserve"> </t>
  </si>
  <si>
    <t>USD 100–750/hr (confirm with local office)</t>
  </si>
  <si>
    <t>Bahamas#Company#Bahamas IBC</t>
  </si>
  <si>
    <t>Trust</t>
  </si>
  <si>
    <t>Bahamas Trust</t>
  </si>
  <si>
    <t>Discretionary or fixed trust structure for asset protection and succession planning.</t>
  </si>
  <si>
    <t>The Bahamas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</si>
  <si>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5-10 business days</t>
  </si>
  <si>
    <t>Annual trustee review, beneficiary statements, FATCA/CRS reporting where applicable</t>
  </si>
  <si>
    <t>High-net-worth families consolidating assets across jurisdictions</t>
  </si>
  <si>
    <t>Succession and inheritance planning for global families</t>
  </si>
  <si>
    <t>Asset protection from political, creditor, or matrimonial risks</t>
  </si>
  <si>
    <t>Holding shares of a private trust company or family business</t>
  </si>
  <si>
    <t>Asset protection from third-party claims</t>
  </si>
  <si>
    <t>Multi-generational succession planning</t>
  </si>
  <si>
    <t>Confidentiality and privacy of beneficial ownership</t>
  </si>
  <si>
    <t>Flexible distribution control by trustee</t>
  </si>
  <si>
    <t>Full (trustee liability only)</t>
  </si>
  <si>
    <t>Bahamas Financial Intelligence Unit / Central Bank
Trustee Act 1998; Purpose Trust Act 2004</t>
  </si>
  <si>
    <t>Multi-generational wealth preservation with discretionary distributions for HNW families</t>
  </si>
  <si>
    <t>CRS/FATCA reporting obligations; trustee must be licensed</t>
  </si>
  <si>
    <t>Bahamas#Trust#Bahamas Trust</t>
  </si>
  <si>
    <t>Fund</t>
  </si>
  <si>
    <t>Bahamas Ltd</t>
  </si>
  <si>
    <t>Private Limited Company offering limited liability with straightforward corporate governance.</t>
  </si>
  <si>
    <t>The Bahamas Ltd is a fund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</si>
  <si>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4-6 weeks</t>
  </si>
  <si>
    <t>Annual audited financials, regulator filings, AML/KYC monitoring, and investor reporting</t>
  </si>
  <si>
    <t>Asset managers launching regulated or private funds</t>
  </si>
  <si>
    <t>PE/VC sponsors raising committed capital from institutional LPs</t>
  </si>
  <si>
    <t>Family offices pooling investments across asset classes</t>
  </si>
  <si>
    <t>Structured products and securitisation arrangers</t>
  </si>
  <si>
    <t>Pooled capital with professional management</t>
  </si>
  <si>
    <t>Investor-friendly structure with familiar legal precedent</t>
  </si>
  <si>
    <t>Tax-efficient flow-through or treaty-eligible vehicle</t>
  </si>
  <si>
    <t>Scalable for additional sub-funds or share classes</t>
  </si>
  <si>
    <t>Investment Fund (Private)</t>
  </si>
  <si>
    <t>Securities Commission of the Bahamas
Investment Funds Act 2019</t>
  </si>
  <si>
    <t>Private closed-end investment vehicle for accredited investors</t>
  </si>
  <si>
    <t>Must appoint licensed fund administrator; annual audit required</t>
  </si>
  <si>
    <t>2-8 Basispoints (2,000 USD per month minimum fee)</t>
  </si>
  <si>
    <t>Bahamas#Fund#Bahamas Ltd</t>
  </si>
  <si>
    <t>Bahamas Exempt LP</t>
  </si>
  <si>
    <t>Exempted Limited Partnership, the most popular vehicle for PE/VC/RE funds.</t>
  </si>
  <si>
    <t>The Bahamas Exempt LP is a fund structure regulated under local law and widely used by international clients of Amicorp. Exempted Limited Partnership, the most popular vehicle for PE/VC/RE funds. Our local team manages incorporation, ongoing administration, accounting, and compliance so you can focus on commercial objectives instead of paperwork.</t>
  </si>
  <si>
    <t>Full for LPs; unlimited for GP</t>
  </si>
  <si>
    <t>Securities Commission of the Bahamas
Exempted Limited Partnership Act 1995</t>
  </si>
  <si>
    <t>1 GP + 1 LP</t>
  </si>
  <si>
    <t>PE and VC fund structures with US-style LP economics and carry arrangements</t>
  </si>
  <si>
    <t>GP has unlimited liability unless a corporate GP is used</t>
  </si>
  <si>
    <t>Bahamas#Fund#Bahamas Exempt LP</t>
  </si>
  <si>
    <t>Bahamas Unit Trust</t>
  </si>
  <si>
    <t>Pooled investment vehicle where investors hold units representing beneficial interest.</t>
  </si>
  <si>
    <t>The Bahamas Unit Trust is a fund structure regulated under local law and widely used by international clients of Amicorp. Pooled investment vehicle where investors hold units representing beneficial interest. Our local team manages incorporation, ongoing administration, accounting, and compliance so you can focus on commercial objectives instead of paperwork.</t>
  </si>
  <si>
    <t>1 trustee + 1 unitholder</t>
  </si>
  <si>
    <t>Pooled investment structures for retail or institutional investors in listed or unlisted assets</t>
  </si>
  <si>
    <t>Trustee must be licensed; subject to Investment Funds Act licensing</t>
  </si>
  <si>
    <t>Bahamas#Fund#Bahamas Unit Trust</t>
  </si>
  <si>
    <t>Bahamas SAC</t>
  </si>
  <si>
    <t>Segregated Accounts Company allowing ring-fenced investment portfolios.</t>
  </si>
  <si>
    <t>The Bahamas SAC is a fund structure regulated under local law and widely used by international clients of Amicorp. Segregated Accounts Company allowing ring-fenced investment portfolios. Our local team manages incorporation, ongoing administration, accounting, and compliance so you can focus on commercial objectives instead of paperwork.</t>
  </si>
  <si>
    <t>Segregated Portfolio Company</t>
  </si>
  <si>
    <t>Full (statutory cell segregation)</t>
  </si>
  <si>
    <t>Securities Commission of the Bahamas
Segregated Accounts Companies Act 2004</t>
  </si>
  <si>
    <t>Multi-class investment fund with legally ring-fenced portfolios in a single entity</t>
  </si>
  <si>
    <t>Cell segregation not always recognised in foreign jurisdictions; legal opinion required</t>
  </si>
  <si>
    <t>Bahamas#Fund#Bahamas SAC</t>
  </si>
  <si>
    <t>Bahamas ICON</t>
  </si>
  <si>
    <t>Bahamian Investment Condominium — innovative co-ownership fund structure.</t>
  </si>
  <si>
    <t>The Bahamas ICON is a fund structure regulated under local law and widely used by international clients of Amicorp. Bahamian Investment Condominium — innovative co-ownership fund structure. Our local team manages incorporation, ongoing administration, accounting, and compliance so you can focus on commercial objectives instead of paperwork.</t>
  </si>
  <si>
    <t>Full (proportionate to co-ownership interest)</t>
  </si>
  <si>
    <t>Securities Commission of the Bahamas
Investment Condominium Act 2003</t>
  </si>
  <si>
    <t>2+</t>
  </si>
  <si>
    <t>Real asset co-ownership structures (real estate, infrastructure) without corporate form</t>
  </si>
  <si>
    <t>Niche structure; limited precedent; may not be recognised in all jurisdictions</t>
  </si>
  <si>
    <t>Bahamas#Fund#Bahamas ICON</t>
  </si>
  <si>
    <t xml:space="preserve">   ARGENTINA</t>
  </si>
  <si>
    <t>Argentina</t>
  </si>
  <si>
    <t xml:space="preserve">Carlos Fitte </t>
  </si>
  <si>
    <t>Argentina Fideicomiso de Garantía</t>
  </si>
  <si>
    <t>Guarantee trust (fideicomiso) commonly used in Latin American jurisdictions.</t>
  </si>
  <si>
    <t>The Argentina Fideicomiso de Garantía is a trust structure regulated under local law and widely used by international clients of Amicorp. Guarantee trust (fideicomiso) commonly used in Latin American jurisdictions. Our local team manages incorporation, ongoing administration, accounting, and compliance so you can focus on commercial objectives instead of paperwork.</t>
  </si>
  <si>
    <t>Established Argentina legal framework familiar to investors, banks, and counterparties</t>
  </si>
  <si>
    <t>Trust (Fideicomiso)</t>
  </si>
  <si>
    <t>Civil Law</t>
  </si>
  <si>
    <t>Assets segregated from fiduciario</t>
  </si>
  <si>
    <t>CNV (Comisión Nacional de Valores)
Civil and Commercial Code Art. 1666-1707</t>
  </si>
  <si>
    <t>1 fiduciante + 1 fiduciario</t>
  </si>
  <si>
    <t>Securing obligations in real estate or infrastructure financing transactions</t>
  </si>
  <si>
    <t>Argentina FX controls and high inflation risk; complex tax treatment</t>
  </si>
  <si>
    <t>Argentina#Trust#Argentina Fideicomiso de Garantía</t>
  </si>
  <si>
    <t>Argentina Trust</t>
  </si>
  <si>
    <t>The Argentina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</si>
  <si>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BCRA / CNV
Civil and Commercial Code Art. 1666-1707</t>
  </si>
  <si>
    <t>Succession planning and family asset management for Argentine resident families</t>
  </si>
  <si>
    <t>Argentina capital controls; forced heirship rules may interact with trust terms</t>
  </si>
  <si>
    <t>Argentina#Trust#Argentina Trust</t>
  </si>
  <si>
    <t xml:space="preserve">   ABU DHABI</t>
  </si>
  <si>
    <t>Abu Dhabi</t>
  </si>
  <si>
    <t>Supriya Dixit Kambil</t>
  </si>
  <si>
    <t>Abu Dhabi ADGM SPV</t>
  </si>
  <si>
    <t>Abu Dhabi Global Market Special Purpose Vehicle for structured finance and investment holding.</t>
  </si>
  <si>
    <t>The Abu Dhabi ADGM SPV is an entity structure, regulated under English common law and widely used by local and international clients of Amicorp. Abu Dhabi Global Market Special Purpose Vehicle is used for isolating financial and legal risk by ring-fencing certain assets and liabilities for structured finance and investment holding. Our local team manages incorporation, ongoing administration, accounting, and compliance so you can focus on commercial objectives instead of paperwork.</t>
  </si>
  <si>
    <t>10 business days</t>
  </si>
  <si>
    <t xml:space="preserve">Annual return filing , financial statements filing, and UBO declarations </t>
  </si>
  <si>
    <t>Established Abu Dhabi legal framework familiar to investors, banks, and counterparties</t>
  </si>
  <si>
    <t>End-to-end Amicorp service: incorporation, registered office, accounting, and reporting</t>
  </si>
  <si>
    <t>Holding investments into and out of Abu Dhabi</t>
  </si>
  <si>
    <t xml:space="preserve">Tax efficient - 9% corporated tax is applicable </t>
  </si>
  <si>
    <t>Special Purpose Vehicle</t>
  </si>
  <si>
    <t>Common Law (English)</t>
  </si>
  <si>
    <t>ADGM Registration Authority
ADGM Companies Regulations 2020</t>
  </si>
  <si>
    <t>Yes (ADGM register)</t>
  </si>
  <si>
    <t>Structured finance, securitisation, and cross-border M&amp;A deal structuring</t>
  </si>
  <si>
    <t>Must demonstrate nexus to ADGM; annual substance fees apply</t>
  </si>
  <si>
    <t>NA</t>
  </si>
  <si>
    <t>Mandatory</t>
  </si>
  <si>
    <t>Abu Dhabi#Company#Abu Dhabi ADGM SPV</t>
  </si>
  <si>
    <t>Abu Dhabi ADGM - Private Limited Company</t>
  </si>
  <si>
    <t>Private company limited by shares established in the Abu Dhabi Global Market financial free zone.</t>
  </si>
  <si>
    <t>The Abu Dhabi ADGM - Private Private company limited by shares is a entity structure regulated under English Common law and widely used by local and international clients of Amicorp. Our local team manages incorporation, ongoing administration, accounting, and compliance so you can focus on commercial objectives instead of paperwork.</t>
  </si>
  <si>
    <t>End-to-end Amicorp service: incorporation, coordination for lease agreement, accounting, and reporting</t>
  </si>
  <si>
    <t>Holding investments into and out of Abu Dhabi, providing operational services in ADGM free zone and outside UAE only.</t>
  </si>
  <si>
    <t>Operating subsidiaries with access to ADGM free zone and outside UAE market</t>
  </si>
  <si>
    <t>Limited Company</t>
  </si>
  <si>
    <t>Holding company and operating company providing services in ADGM and outside UAE</t>
  </si>
  <si>
    <t>Must maintain ADGM office presence and hire minimum 1 employee to fulfil ADGM economic substance requirements; 9% UAE CT and  0% UAE CT for qualifying income only</t>
  </si>
  <si>
    <t xml:space="preserve">lease agreement is required from the client at the time of oncorporation </t>
  </si>
  <si>
    <t xml:space="preserve">Mandatory - from ADGM registered auditors </t>
  </si>
  <si>
    <t>Abu Dhabi#Company#Abu Dhabi ADGM - Private Limited Company</t>
  </si>
  <si>
    <t xml:space="preserve">Abu Dhabi ADGM -  Foundation </t>
  </si>
  <si>
    <t>Foundation structure suitable for wealth management and succession plannng. A common choice among HNWI</t>
  </si>
  <si>
    <t>The Abu Dhabi Foundation is regulated under english common local law and widely used by local and international clients of Amicorp. Our local team manages incorporation, ongoing administration, accounting, and compliance so you can focus on commercial objectives instead of paperwork.</t>
  </si>
  <si>
    <t xml:space="preserve">Wealth management and succession planning, </t>
  </si>
  <si>
    <t>Other - Foundation</t>
  </si>
  <si>
    <t>Varies by structure as defined in the charter of the foundation</t>
  </si>
  <si>
    <t>ADGM Registration Authority
ADGM Foundation Regulations 2017</t>
  </si>
  <si>
    <t>Yes</t>
  </si>
  <si>
    <t>Varies Founder, minimum 2 council members, beneficiaries</t>
  </si>
  <si>
    <t>Foundation is eligible to 9% UAE CT and  0% UAE CT if qualified as exempt by FTA</t>
  </si>
  <si>
    <t xml:space="preserve">Abu Dhabi#Company#Abu Dhabi ADGM -  Foundation </t>
  </si>
  <si>
    <t xml:space="preserve">   BRAZIL</t>
  </si>
  <si>
    <t>Brazil</t>
  </si>
  <si>
    <t>Marco Navarro</t>
  </si>
  <si>
    <t>Brazil FI</t>
  </si>
  <si>
    <t>Brazilian Fundo de Investimento — standard investment fund vehicle.</t>
  </si>
  <si>
    <t>The Brazil FI is a fund structure regulated under local law and widely used by international clients of Amicorp. Brazilian Fundo de Investimento — standard investment fund vehicle. Our local team manages incorporation, ongoing administration, accounting, and compliance so you can focus on commercial objectives instead of paperwork.</t>
  </si>
  <si>
    <t>Established Brazil legal framework familiar to investors, banks, and counterparties</t>
  </si>
  <si>
    <t>Investment Fund (Regulated)</t>
  </si>
  <si>
    <t>Full (condominium structure, not entity)</t>
  </si>
  <si>
    <t>CVM (Comissão de Valores Mobiliários)
CVM Resolution 175/2022; Law 8,668/93</t>
  </si>
  <si>
    <t>Yes (CVM registration)</t>
  </si>
  <si>
    <t>1 administrator + 1 investor</t>
  </si>
  <si>
    <t>Brazilian domestic investment fund for diversified fixed income or multi-asset portfolios</t>
  </si>
  <si>
    <t>Brazilian FX controls; mandatory local administrator; CVM reporting requirements</t>
  </si>
  <si>
    <t>Brazil#Fund#Brazil FI</t>
  </si>
  <si>
    <t>Brazil FIC</t>
  </si>
  <si>
    <t>Brazilian Fundo de Investimento em Cotas — fund of funds structure.</t>
  </si>
  <si>
    <t>The Brazil FIC is a fund structure regulated under local law and widely used by international clients of Amicorp. Brazilian Fundo de Investimento em Cotas — fund of funds structure. Our local team manages incorporation, ongoing administration, accounting, and compliance so you can focus on commercial objectives instead of paperwork.</t>
  </si>
  <si>
    <t>CVM
CVM Resolution 175/2022</t>
  </si>
  <si>
    <t>1+</t>
  </si>
  <si>
    <t>Fund-of-funds structure for institutional investors allocating to multiple Brazilian funds</t>
  </si>
  <si>
    <t>Double fee layer (FIC + underlying FI); concentration limits apply</t>
  </si>
  <si>
    <t>Brazil#Fund#Brazil FIC</t>
  </si>
  <si>
    <t>Brazil FIA</t>
  </si>
  <si>
    <t>Brazilian Fundo de Investimento em Ações — equity investment fund.</t>
  </si>
  <si>
    <t>The Brazil FIA is a fund structure regulated under local law and widely used by international clients of Amicorp. Brazilian Fundo de Investimento em Ações — equity investment fund. Our local team manages incorporation, ongoing administration, accounting, and compliance so you can focus on commercial objectives instead of paperwork.</t>
  </si>
  <si>
    <t>Brazilian equity investment fund investing ≥67% in listed equities (Bovespa)</t>
  </si>
  <si>
    <t>FX risk; high volatility in Brazilian equity markets; BRL hedging cost</t>
  </si>
  <si>
    <t>Brazil#Fund#Brazil FIA</t>
  </si>
  <si>
    <t>Brazil FIP</t>
  </si>
  <si>
    <t>Brazilian Fundo de Investimento em Participações — private equity fund.</t>
  </si>
  <si>
    <t>The Brazil FIP is a fund structure regulated under local law and widely used by international clients of Amicorp. Brazilian Fundo de Investimento em Participações — private equity fund. Our local team manages incorporation, ongoing administration, accounting, and compliance so you can focus on commercial objectives instead of paperwork.</t>
  </si>
  <si>
    <t>Investment Fund (AIF)</t>
  </si>
  <si>
    <t>CVM
CVM Resolution 175/2022; Law 12,431/11</t>
  </si>
  <si>
    <t>Private equity and buyout fund investing in Brazilian non-listed companies</t>
  </si>
  <si>
    <t>Minimum 10-year term; governance and reporting requirements under CVM</t>
  </si>
  <si>
    <t>Brazil#Fund#Brazil FIP</t>
  </si>
  <si>
    <t>Brazil FII</t>
  </si>
  <si>
    <t>Brazilian Fundo de Investimento Imobiliário — real estate investment fund.</t>
  </si>
  <si>
    <t>The Brazil FII is a fund structure regulated under local law and widely used by international clients of Amicorp. Brazilian Fundo de Investimento Imobiliário — real estate investment fund. Our local team manages incorporation, ongoing administration, accounting, and compliance so you can focus on commercial objectives instead of paperwork.</t>
  </si>
  <si>
    <t>REIT/Business Trust</t>
  </si>
  <si>
    <t>CVM
Law 8,668/93; CVM Resolution 175/2022</t>
  </si>
  <si>
    <t>Real estate investment trust listed on B3 for retail and institutional investors</t>
  </si>
  <si>
    <t>Must distribute ≥95% of income semi-annually; minimum 50 investors for tax exemption</t>
  </si>
  <si>
    <t>Brazil#Fund#Brazil FII</t>
  </si>
  <si>
    <t>Brazil FI-Infra</t>
  </si>
  <si>
    <t>Brazilian infrastructure investment fund for long-term infrastructure projects.</t>
  </si>
  <si>
    <t>The Brazil FI-Infra is a fund structure regulated under local law and widely used by international clients of Amicorp. Brazilian infrastructure investment fund for long-term infrastructure projects. Our local team manages incorporation, ongoing administration, accounting, and compliance so you can focus on commercial objectives instead of paperwork.</t>
  </si>
  <si>
    <t>CVM
Law 12,431/2011; CVM Resolution 175/2022</t>
  </si>
  <si>
    <t>Infrastructure debt fund investing in regulated infrastructure assets (energy, sanitation, transport)</t>
  </si>
  <si>
    <t>Must invest ≥85% in infrastructure debentures; long lock-up periods typical</t>
  </si>
  <si>
    <t>Brazil#Fund#Brazil FI-Infra</t>
  </si>
  <si>
    <t xml:space="preserve">   BRITISH VIRGIN ISLANDS</t>
  </si>
  <si>
    <t>British Virgin Islands</t>
  </si>
  <si>
    <t>Pedro Garcia</t>
  </si>
  <si>
    <t>British Virgin Islands BVIBC</t>
  </si>
  <si>
    <t>BVI Business Company, a flexible tax-neutral vehicle widely used for international holding and trading activities.</t>
  </si>
  <si>
    <t>The British Virgin Islands BVIBC is a entity structure regulated under local law and widely used by international clients of Amicorp. BVI Business Company, a flexible tax-neutral vehicle widely used for international holding and trading activities. Our local team manages incorporation, ongoing administration, accounting, and compliance so you can focus on commercial objectives instead of paperwork.</t>
  </si>
  <si>
    <t>Established British Virgin Islands legal framework familiar to investors, banks, and counterparties</t>
  </si>
  <si>
    <t>Holding investments into and out of British Virgin Islands</t>
  </si>
  <si>
    <t>BVI Financial Services Commission
BVI Business Companies Act 2004 (as amended)</t>
  </si>
  <si>
    <t>No (beneficial ownership in private register)</t>
  </si>
  <si>
    <t>Holding structure for international investments, IP, or cross-border M&amp;A SPVs</t>
  </si>
  <si>
    <t>Economic substance rules for holding companies; FATF/OECD grey-list risk for certain activities</t>
  </si>
  <si>
    <t>British Virgin Islands#Company#British Virgin Islands BVIBC</t>
  </si>
  <si>
    <t>British Virgin Islands SPC</t>
  </si>
  <si>
    <t>Segregated Portfolio Company allowing creation of ring-fenced portfolios within a single legal entity.</t>
  </si>
  <si>
    <t>The British Virgin Islands SPC is a entity structure regulated under local law and widely used by international clients of Amicorp. Segregated Portfolio Company allowing creation of ring-fenced portfolios within a single legal entity. Our local team manages incorporation, ongoing administration, accounting, and compliance so you can focus on commercial objectives instead of paperwork.</t>
  </si>
  <si>
    <t>BVI Financial Services Commission
BVI Business Companies Act 2004 (SPC provisions)</t>
  </si>
  <si>
    <t>Multi-class hedge fund or insurance vehicle with legally ring-fenced portfolios</t>
  </si>
  <si>
    <t>Requires FSC approval; cell segregation may not be recognised in non-BVI courts</t>
  </si>
  <si>
    <t>British Virgin Islands#Company#British Virgin Islands SPC</t>
  </si>
  <si>
    <t>British Virgin Islands Vista Trust</t>
  </si>
  <si>
    <t>BVI Vista Trust providing enhanced settlor control and asset protection features.</t>
  </si>
  <si>
    <t>The British Virgin Islands Vista Trust is a trust structure regulated under local law and widely used by international clients of Amicorp. BVI Vista Trust providing enhanced settlor control and asset protection features. Our local team manages incorporation, ongoing administration, accounting, and compliance so you can focus on commercial objectives instead of paperwork.</t>
  </si>
  <si>
    <t>Trust (VISTA)</t>
  </si>
  <si>
    <t>BVI Financial Services Commission
Virgin Islands Special Trusts Act (VISTA) 2003</t>
  </si>
  <si>
    <t>Long-term holding of BVI BC shares without trustee interference in company management</t>
  </si>
  <si>
    <t>Only usable for BVI BC shares; requires licensed BVI trustee; limited suitability for non-BVI assets</t>
  </si>
  <si>
    <t>Other administrative services: USD 100-125/hr
Other legal services: USD 125-175/hr
Trust lawyer, manager or equivalent: USD 175-200/hr</t>
  </si>
  <si>
    <t>British Virgin Islands#Trust#British Virgin Islands Vista Trust</t>
  </si>
  <si>
    <t>British Virgin Islands Trust</t>
  </si>
  <si>
    <t>The British Virgin Islands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</si>
  <si>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BVI Financial Services Commission
Trustee Act 1993; Virgin Islands Special Trusts Act 2003</t>
  </si>
  <si>
    <t>Discretionary family trust for international HNW clients with multi-jurisdictional assets</t>
  </si>
  <si>
    <t>CRS/FATCA reporting; trustee must hold valid BVI trust licence</t>
  </si>
  <si>
    <t>Administrative/Accounting services: USD 100-200/hr
Other administrative services: USD 100-125/hr
Other legal services: USD 125-175/hr
Trust lawyer, manager or equivalent: USD 175-200/hr</t>
  </si>
  <si>
    <t>British Virgin Islands#Trust#British Virgin Islands Trust</t>
  </si>
  <si>
    <t>British Virgin Islands Ltd</t>
  </si>
  <si>
    <t>The British Virgin Islands Ltd is a fund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</si>
  <si>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BVI Financial Services Commission
Securities and Investment Business Act 2010; Investment Business (Approved Managers) Regulations 2012</t>
  </si>
  <si>
    <t>Closed-end private investment fund for sophisticated investors in a BVI company wrapper</t>
  </si>
  <si>
    <t>Must register with FSC if offering to public; annual audit and reporting required</t>
  </si>
  <si>
    <t>British Virgin Islands#Fund#British Virgin Islands Ltd</t>
  </si>
  <si>
    <t>British Virgin Islands LP</t>
  </si>
  <si>
    <t>Limited Partnership offering flexible profit allocation and limited partner protection.</t>
  </si>
  <si>
    <t>The British Virgin Islands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</si>
  <si>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BVI Financial Services Commission
Limited Partnership Act 1996</t>
  </si>
  <si>
    <t>PE/VC fund structure mirroring Cayman LP economics for Asian and European investors</t>
  </si>
  <si>
    <t>GP unlimited liability unless corporate GP; limited BVI fund regulation vs Cayman</t>
  </si>
  <si>
    <t>British Virgin Islands#Fund#British Virgin Islands LP</t>
  </si>
  <si>
    <t>The British Virgin Islands SPC is a fund structure regulated under local law and widely used by international clients of Amicorp. Segregated Portfolio Company allowing creation of ring-fenced portfolios within a single legal entity. Our local team manages incorporation, ongoing administration, accounting, and compliance so you can focus on commercial objectives instead of paperwork.</t>
  </si>
  <si>
    <t>BVI Financial Services Commission
BVI Business Companies Act 2004</t>
  </si>
  <si>
    <t>Multi-strategy fund or insurance captive with separate legal portfolios in one entity</t>
  </si>
  <si>
    <t>FSC approval required; cross-border recognition of cell segregation not guaranteed</t>
  </si>
  <si>
    <t>British Virgin Islands#Fund#British Virgin Islands SPC</t>
  </si>
  <si>
    <t>British Virgin Islands Unit Trust</t>
  </si>
  <si>
    <t>The British Virgin Islands Unit Trust is a fund structure regulated under local law and widely used by international clients of Amicorp. Pooled investment vehicle where investors hold units representing beneficial interest. Our local team manages incorporation, ongoing administration, accounting, and compliance so you can focus on commercial objectives instead of paperwork.</t>
  </si>
  <si>
    <t>BVI Financial Services Commission
Securities and Investment Business Act 2010</t>
  </si>
  <si>
    <t>Pooled investment trust for Asian investors preferring unit trust format</t>
  </si>
  <si>
    <t>Trustee must hold BVI licence; FSC registration required</t>
  </si>
  <si>
    <t>British Virgin Islands#Fund#British Virgin Islands Unit Trust</t>
  </si>
  <si>
    <t>British Virgin Islands LLP</t>
  </si>
  <si>
    <t>Limited Liability Partnership combining partnership flexibility with limited liability.</t>
  </si>
  <si>
    <t>The British Virgin Islands LLP is a fund structure regulated under local law and widely used by international clients of Amicorp. Limited Liability Partnership combining partnership flexibility with limited liability. Our local team manages incorporation, ongoing administration, accounting, and compliance so you can focus on commercial objectives instead of paperwork.</t>
  </si>
  <si>
    <t>Full (limited liability for all members)</t>
  </si>
  <si>
    <t>BVI Financial Services Commission
Limited Liability Partnership Act 2004</t>
  </si>
  <si>
    <t>Carried interest vehicle or co-investment structure with flexible profit sharing</t>
  </si>
  <si>
    <t>Less commonly used than LP for PE structures; limited market familiarity</t>
  </si>
  <si>
    <t>British Virgin Islands#Fund#British Virgin Islands LLP</t>
  </si>
  <si>
    <t xml:space="preserve">   BARBADOS</t>
  </si>
  <si>
    <t>Barbados</t>
  </si>
  <si>
    <t>Kimbert Solomon</t>
  </si>
  <si>
    <t>Barbados Domestic</t>
  </si>
  <si>
    <t>Domestic company incorporated under local laws for onshore business operations.</t>
  </si>
  <si>
    <t>The Barbados Domestic is a entity structure regulated under local law and widely used by international clients of Amicorp. Domestic company incorporated under local laws for onshore business operations. Our local team manages incorporation, ongoing administration, accounting, and compliance so you can focus on commercial objectives instead of paperwork.</t>
  </si>
  <si>
    <t>Established Barbados legal framework familiar to investors, banks, and counterparties</t>
  </si>
  <si>
    <t>Holding investments into and out of Barbados</t>
  </si>
  <si>
    <t>Corporate Affairs &amp; Intellectual Property Office
Companies Act Cap. 308</t>
  </si>
  <si>
    <t>Local operating company or financial services entity accessing Barbados tax treaty network</t>
  </si>
  <si>
    <t>OECD substance requirements; Barbados subject to periodic FATF review</t>
  </si>
  <si>
    <t>Administrative/Accounting services: USD 100-150/hr
Corporate secretarial and legal services: USD 135-235/hr</t>
  </si>
  <si>
    <t>Barbados#Company#Barbados Domestic</t>
  </si>
  <si>
    <t>Barbados SRL</t>
  </si>
  <si>
    <t>Sociedad de Responsabilidad Limitada — a private limited liability company under civil law.</t>
  </si>
  <si>
    <t>The Barbados SRL is a entity structure regulated under local law and widely used by international clients of Amicorp. Sociedad de Responsabilidad Limitada — a private limited liability company under civil law. Our local team manages incorporation, ongoing administration, accounting, and compliance so you can focus on commercial objectives instead of paperwork.</t>
  </si>
  <si>
    <t>Holding or operational company for regional Caribbean business activities</t>
  </si>
  <si>
    <t>CRS reporting; substance requirements</t>
  </si>
  <si>
    <t>Barbados#Company#Barbados SRL</t>
  </si>
  <si>
    <t>Barbados SCC</t>
  </si>
  <si>
    <t>Series Cell Company enabling segregated cell structures for efficient multi-asset management.</t>
  </si>
  <si>
    <t>The Barbados SCC is a entity structure regulated under local law and widely used by international clients of Amicorp. Series Cell Company enabling segregated cell structures for efficient multi-asset management. Our local team manages incorporation, ongoing administration, accounting, and compliance so you can focus on commercial objectives instead of paperwork.</t>
  </si>
  <si>
    <t>Corporate Affairs &amp; Intellectual Property Office
Segregated Cell Companies Act 2016</t>
  </si>
  <si>
    <t>Multi-class insurance captive or investment fund vehicle with ring-fenced sub-portfolios</t>
  </si>
  <si>
    <t>Cell segregation not universally recognised; legal opinion required for cross-border structures</t>
  </si>
  <si>
    <t>Barbados#Company#Barbados SCC</t>
  </si>
  <si>
    <t>Barbados Trust with Swiss Trustee</t>
  </si>
  <si>
    <t>Trust administered by a Swiss-regulated professional trustee.</t>
  </si>
  <si>
    <t>The Barbados Trust with Swiss Trustee is a trust structure regulated under local law and widely used by international clients of Amicorp. Trust administered by a Swiss-regulated professional trustee. Our local team manages incorporation, ongoing administration, accounting, and compliance so you can focus on commercial objectives instead of paperwork.</t>
  </si>
  <si>
    <t>Financial Services Commission Barbados
International Trusts Act Cap. 245</t>
  </si>
  <si>
    <t>International trust with Swiss-licensed trustee providing additional Swiss regulatory oversight</t>
  </si>
  <si>
    <t>Higher trustee fees due to Swiss regulation; dual-jurisdiction reporting (CRS Barbados + CH)</t>
  </si>
  <si>
    <t>Barbados#Trust#Barbados Trust with Swiss Trustee</t>
  </si>
  <si>
    <t>Barbados Ltd</t>
  </si>
  <si>
    <t>The Barbados Ltd is a fund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</si>
  <si>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Financial Services Commission Barbados
Mutual Funds Act Cap. 320B</t>
  </si>
  <si>
    <t>Private investment fund for accredited investors seeking Barbados treaty benefits</t>
  </si>
  <si>
    <t>Must appoint FSC-licensed administrator; annual audited accounts</t>
  </si>
  <si>
    <t>Barbados#Fund#Barbados Ltd</t>
  </si>
  <si>
    <t>The Barbados SRL is a fund structure regulated under local law and widely used by international clients of Amicorp. Sociedad de Responsabilidad Limitada — a private limited liability company under civil law. Our local team manages incorporation, ongoing administration, accounting, and compliance so you can focus on commercial objectives instead of paperwork.</t>
  </si>
  <si>
    <t>Fund vehicle structured as SRL for Latin American investor familiarity</t>
  </si>
  <si>
    <t>FSC licensing; annual audit</t>
  </si>
  <si>
    <t>Barbados#Fund#Barbados SRL</t>
  </si>
  <si>
    <t>Barbados LP</t>
  </si>
  <si>
    <t>The Barbados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</si>
  <si>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Financial Services Commission Barbados
International Societies with Restricted Liability Act</t>
  </si>
  <si>
    <t>PE fund structure for regional Caribbean and international investors</t>
  </si>
  <si>
    <t>GP unlimited liability; FSC supervision</t>
  </si>
  <si>
    <t>Barbados#Fund#Barbados LP</t>
  </si>
  <si>
    <t>Barbados Unit Trust</t>
  </si>
  <si>
    <t>The Barbados Unit Trust is a fund structure regulated under local law and widely used by international clients of Amicorp. Pooled investment vehicle where investors hold units representing beneficial interest. Our local team manages incorporation, ongoing administration, accounting, and compliance so you can focus on commercial objectives instead of paperwork.</t>
  </si>
  <si>
    <t>Pooled investment trust for retail-facing fund structures in the Caribbean</t>
  </si>
  <si>
    <t>Licensed trustee required; annual audit</t>
  </si>
  <si>
    <t>Barbados#Fund#Barbados Unit Trust</t>
  </si>
  <si>
    <t>The Barbados SCC is a fund structure regulated under local law and widely used by international clients of Amicorp. Series Cell Company enabling segregated cell structures for efficient multi-asset management. Our local team manages incorporation, ongoing administration, accounting, and compliance so you can focus on commercial objectives instead of paperwork.</t>
  </si>
  <si>
    <t>Financial Services Commission Barbados
Segregated Cell Companies Act 2016</t>
  </si>
  <si>
    <t>Multi-class fund with statutory cell separation for insurance or investment purposes</t>
  </si>
  <si>
    <t>Cell recognition risk in foreign courts; annual audit required</t>
  </si>
  <si>
    <t>Barbados#Fund#Barbados SCC</t>
  </si>
  <si>
    <t>Barbados External Company</t>
  </si>
  <si>
    <t>External company registration allowing a foreign-incorporated company to operate from Barbados</t>
  </si>
  <si>
    <t>The Barbados External Company is the registration of a company incorporated outside Barbados that establishes a place of business in Barbados, giving access to the island's treaty network and professional infrastructure without re-incorporation.</t>
  </si>
  <si>
    <t>Annual return with CAIPO, corporate income tax filing, financial statements, and UBO declarations</t>
  </si>
  <si>
    <t>Foreign groups establishing a Barbados place of business</t>
  </si>
  <si>
    <t>Treaty-based holding and financing platforms</t>
  </si>
  <si>
    <t>Regional headquarters for Caribbean and Latin American operations</t>
  </si>
  <si>
    <t>International business retaining original place of incorporation</t>
  </si>
  <si>
    <t>Registration of an existing foreign company — no re-incorporation required</t>
  </si>
  <si>
    <t>Access to Barbados's extensive double tax treaty network</t>
  </si>
  <si>
    <t>Low corporate tax rates on a sliding scale (5.5% to 1%)</t>
  </si>
  <si>
    <t>Continuity of corporate history and existing contracts</t>
  </si>
  <si>
    <t>External Company</t>
  </si>
  <si>
    <t>Per home jurisdiction of incorporation</t>
  </si>
  <si>
    <t>Corporate Affairs and Intellectual Property Office (CAIPO)
Companies Act, Cap. 308</t>
  </si>
  <si>
    <t>Foreign company operating from Barbados to access the treaty network and regional markets</t>
  </si>
  <si>
    <t>Must maintain home-jurisdiction good standing; taxable presence in Barbados; annual dual compliance</t>
  </si>
  <si>
    <t>administrative/accounting services: USD 150-250/hr
corporate secretarial and legal services: USD 150-400/hr</t>
  </si>
  <si>
    <t>Barbados#Company#Barbados External Company</t>
  </si>
  <si>
    <t xml:space="preserve">   CANADA</t>
  </si>
  <si>
    <t>Canada</t>
  </si>
  <si>
    <t>Partnership</t>
  </si>
  <si>
    <t>Canada LP</t>
  </si>
  <si>
    <t>Canadian Limited Partnership offering a flow-through vehicle with no entity-level Canadian tax for non-resident partners</t>
  </si>
  <si>
    <t>The Canada LP (typically formed in Ontario or British Columbia) is a fiscally transparent partnership; where partners are non-resident and no business is carried on in Canada, no Canadian tax filing obligation on profits generally arises, combining a respected G7 jurisdiction with flow-through treatment.</t>
  </si>
  <si>
    <t>Annual registration renewal, partnership records maintenance, and FATCA/CRS classification where applicable</t>
  </si>
  <si>
    <t>Established Canada legal framework familiar to investors, banks, and counterparties</t>
  </si>
  <si>
    <t>Non-resident entrepreneurs invoicing international clients</t>
  </si>
  <si>
    <t>E-commerce and IT services businesses</t>
  </si>
  <si>
    <t>Flow-through investment holding for non-residents</t>
  </si>
  <si>
    <t>Agency and trading structures with G7 credibility</t>
  </si>
  <si>
    <t>Fiscally transparent — profits taxed at partner level only</t>
  </si>
  <si>
    <t>No Canadian corporate tax if no Canadian business and non-resident partners</t>
  </si>
  <si>
    <t>Prestigious G7 jurisdiction with strong banking access</t>
  </si>
  <si>
    <t>General partner may be a corporate entity</t>
  </si>
  <si>
    <t>Limited Partnership</t>
  </si>
  <si>
    <t>Limited partners liable only up to contribution</t>
  </si>
  <si>
    <t>Ontario Ministry of Public and Business Service Delivery
Limited Partnerships Act (Ontario), R.S.O. 1990</t>
  </si>
  <si>
    <t>Yes (limited details)</t>
  </si>
  <si>
    <t>Non-resident international trading or services business seeking a reputable flow-through vehicle</t>
  </si>
  <si>
    <t>GP bears unlimited liability; Canadian-source income triggers filing; bank account opening requires substance</t>
  </si>
  <si>
    <t>Canada#Partnership#Canada LP</t>
  </si>
  <si>
    <t xml:space="preserve">   CAYMAN ISLANDS</t>
  </si>
  <si>
    <t>Cayman Islands</t>
  </si>
  <si>
    <t>Cayman Islands EXEMPT</t>
  </si>
  <si>
    <t>Exempt Company with tax-exempt status, ideal for holding companies, joint ventures, and SPVs.</t>
  </si>
  <si>
    <t>The Cayman Islands EXEMPT is a entity structure regulated under local law and widely used by international clients of Amicorp. Exempt Company with tax-exempt status, ideal for holding companies, joint ventures, and SPVs. Our local team manages incorporation, ongoing administration, accounting, and compliance so you can focus on commercial objectives instead of paperwork.</t>
  </si>
  <si>
    <t>Established Cayman Islands legal framework familiar to investors, banks, and counterparties</t>
  </si>
  <si>
    <t>Holding investments into and out of Cayman Islands</t>
  </si>
  <si>
    <t>Exempt Company</t>
  </si>
  <si>
    <t>Cayman Islands Registrar of Companies
Companies Act (2023 Revision)</t>
  </si>
  <si>
    <t>Offshore holding company, SPV for structured finance, or fund GP vehicle</t>
  </si>
  <si>
    <t>Economic substance rules; FATF monitoring; annual government fee</t>
  </si>
  <si>
    <t>Cayman Islands#Company#Cayman Islands EXEMPT</t>
  </si>
  <si>
    <t>Cayman Islands EXEMPT LP</t>
  </si>
  <si>
    <t>Exempted Limited Partnership combining tax exemption with limited liability partnership structure.</t>
  </si>
  <si>
    <t>The Cayman Islands EXEMPT LP is a entity structure regulated under local law and widely used by international clients of Amicorp. Exempted Limited Partnership combining tax exemption with limited liability partnership structure. Our local team manages incorporation, ongoing administration, accounting, and compliance so you can focus on commercial objectives instead of paperwork.</t>
  </si>
  <si>
    <t>Cayman Islands Registrar of Companies
Exempted Limited Partnership Act (2021 Revision)</t>
  </si>
  <si>
    <t>Preferred vehicle for Cayman-domiciled PE, VC, and hedge funds</t>
  </si>
  <si>
    <t>GP unlimited liability; CIMA registration for investment funds</t>
  </si>
  <si>
    <t>Cayman Islands#Company#Cayman Islands EXEMPT LP</t>
  </si>
  <si>
    <t>Cayman Islands Ordinary Non-Resident</t>
  </si>
  <si>
    <t>Ordinary non-resident company for specific offshore structuring needs.</t>
  </si>
  <si>
    <t>The Cayman Islands Ordinary Non-Resident is a entity structure regulated under local law and widely used by international clients of Amicorp. Ordinary non-resident company for specific offshore structuring needs. Our local team manages incorporation, ongoing administration, accounting, and compliance so you can focus on commercial objectives instead of paperwork.</t>
  </si>
  <si>
    <t>Non-resident company for specific offshore purposes where exempt status not required</t>
  </si>
  <si>
    <t>Cannot conduct business in Cayman; less common than Exempt Company</t>
  </si>
  <si>
    <t>Cayman Islands#Company#Cayman Islands Ordinary Non-Resident</t>
  </si>
  <si>
    <t>Cayman Islands SPC</t>
  </si>
  <si>
    <t>The Cayman Islands SPC is a entity structure regulated under local law and widely used by international clients of Amicorp. Segregated Portfolio Company allowing creation of ring-fenced portfolios within a single legal entity. Our local team manages incorporation, ongoing administration, accounting, and compliance so you can focus on commercial objectives instead of paperwork.</t>
  </si>
  <si>
    <t>Cayman Islands Monetary Authority (CIMA)
Companies Act (2023 Revision) Part XIV</t>
  </si>
  <si>
    <t>Multi-class hedge fund or insurance captive with ring-fenced portfolios</t>
  </si>
  <si>
    <t>CIMA licensing required; cross-border cell recognition not universal</t>
  </si>
  <si>
    <t>Cayman Islands#Company#Cayman Islands SPC</t>
  </si>
  <si>
    <t>Cayman Islands LLC</t>
  </si>
  <si>
    <t>Limited Liability Company combining partnership flexibility with corporate liability protection.</t>
  </si>
  <si>
    <t>The Cayman Islands LLC is a entity structure regulated under local law and widely used by international clients of Amicorp. Limited Liability Company combining partnership flexibility with corporate liability protection. Our local team manages incorporation, ongoing administration, accounting, and compliance so you can focus on commercial objectives instead of paperwork.</t>
  </si>
  <si>
    <t>Limited liability for members</t>
  </si>
  <si>
    <t>Pass-through or elective tax treatment</t>
  </si>
  <si>
    <t>Lower administrative burden than corporations</t>
  </si>
  <si>
    <t>LLC</t>
  </si>
  <si>
    <t>Cayman Islands Registrar of Companies
Limited Liability Companies Act (2021 Revision)</t>
  </si>
  <si>
    <t>Alternative to LP for PE/VC; US-style LLC for Delaware-equivalent offshore structures</t>
  </si>
  <si>
    <t>Relatively new vehicle (2016); less tested than Exempt Company/ELP</t>
  </si>
  <si>
    <t>Cayman Islands#Company#Cayman Islands LLC</t>
  </si>
  <si>
    <t>Cayman Islands Trust</t>
  </si>
  <si>
    <t>The Cayman Islands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</si>
  <si>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Cayman Islands Monetary Authority (CIMA)
Trusts Act (2021 Revision)</t>
  </si>
  <si>
    <t>International discretionary trust for HNW families with global assets</t>
  </si>
  <si>
    <t>CRS reporting; trustee must hold CIMA licence</t>
  </si>
  <si>
    <t>Other legal services: USD 150-250/hr</t>
  </si>
  <si>
    <t>Cayman Islands#Trust#Cayman Islands Trust</t>
  </si>
  <si>
    <t>Cayman Islands Star Trust</t>
  </si>
  <si>
    <t>Cayman STAR Trust — Special Trusts (Alternative Regime) for purpose trusts.</t>
  </si>
  <si>
    <t>The Cayman Islands Star Trust is a trust structure regulated under local law and widely used by international clients of Amicorp. Cayman STAR Trust — Special Trusts (Alternative Regime) for purpose trusts. Our local team manages incorporation, ongoing administration, accounting, and compliance so you can focus on commercial objectives instead of paperwork.</t>
  </si>
  <si>
    <t>Trust (Purpose Trust)</t>
  </si>
  <si>
    <t>Cayman Islands Monetary Authority (CIMA)
Special Trusts (Alternative Regime) Law 1997 (STAR)</t>
  </si>
  <si>
    <t>Orphan structure for securitisation SPVs or charitable/non-charitable purpose trusts</t>
  </si>
  <si>
    <t>Enforcer required; limited to specific purposes; complex drafting required</t>
  </si>
  <si>
    <t>USD 350-650/hr
USD 250-350/hr</t>
  </si>
  <si>
    <t>Cayman Islands#Trust#Cayman Islands Star Trust</t>
  </si>
  <si>
    <t>Craig Lyall</t>
  </si>
  <si>
    <t>Fund - compartment</t>
  </si>
  <si>
    <t>Cayman Islands Investment Fund Compartment</t>
  </si>
  <si>
    <t>New share class / compartment within existing Cayman Islands Investment Fund Compartment, enabling rapid market entry via a CIMA-regulated platform with full administrative support.</t>
  </si>
  <si>
    <t>Cayman Islands Investment Fund Compartment — New Share Class / Compartment. Rather than establishing a standalone fund from scratch, investors and managers subscribe to a new share class within this existing, fully operational fund structure. All regulatory approvals, administrative infrastructure, compliance frameworks, AML/KYC processes, auditing relationships, and legal documentation are already in place. This dramatically reduces both time-to-market and costs, allowing managers to focus on investment strategy rather than operational build-out. A single annual fee of 0.45% AUA covers all services including administration, NAV calculation, regulatory filings, transfer agent, MLRO, audit coordination, and compliance.</t>
  </si>
  <si>
    <t>2-4 weeks</t>
  </si>
  <si>
    <t>Annual fee of 0.45% AUA covers all services: administration, NAV, regulatory filings, audit coordination, compliance, MLRO, and reporting</t>
  </si>
  <si>
    <t>Rapid time-to-market: launch within weeks by leveraging an existing, fully licensed fund structure</t>
  </si>
  <si>
    <t>Zero infrastructure build-out: fund administration, compliance, AML/KYC, and audit already in place</t>
  </si>
  <si>
    <t>Cost-effective entry: share class setup at USD 15,000 versus USD 50,000–100,000+ for a standalone fund</t>
  </si>
  <si>
    <t>Ongoing all-inclusive fee of 0.45% AUA covers all administration, regulatory filings, and reporting</t>
  </si>
  <si>
    <t>Investment managers seeking fast, low-cost market entry on a proven, regulated platform</t>
  </si>
  <si>
    <t>Boutique asset managers and emerging market specialists without existing fund infrastructure</t>
  </si>
  <si>
    <t>Family offices and institutional investors requiring a regulated vehicle with minimal setup time</t>
  </si>
  <si>
    <t>Managers launching niche or thematic strategies within an existing umbrella fund</t>
  </si>
  <si>
    <t>Plug-and-play fund infrastructure: regulation, administration, and compliance already operational</t>
  </si>
  <si>
    <t>Single all-inclusive annual fee of 0.45% AUA — no hidden costs across any service line</t>
  </si>
  <si>
    <t>Statutory separation of assets where applicable (SPC) or clearly defined share class economics</t>
  </si>
  <si>
    <t>Access to established fund directors, legal counsel, auditors, and prime broker relationships</t>
  </si>
  <si>
    <t>Cayman Islands Monetary Authority (CIMA)
Mutual Funds Act (2021 Revision)</t>
  </si>
  <si>
    <t>Investment manager or fund promoter seeking rapid, cost-efficient launch of a new strategy or share class within a regulated, fully operational fund platform</t>
  </si>
  <si>
    <t>CIMA annual reporting; AML/KYC obligations; annual audit required; existing fund compliance obligations apply</t>
  </si>
  <si>
    <t>Included</t>
  </si>
  <si>
    <t>Cayman Islands#Fund#Cayman Islands Investment Fund Compartment</t>
  </si>
  <si>
    <t>Cayman Islands Exempt Company</t>
  </si>
  <si>
    <t>Cayman exempt company structured as a regulated investment fund.</t>
  </si>
  <si>
    <t>The Cayman Islands Exempt Company is a fund structure regulated under local law and widely used by international clients of Amicorp. Cayman exempt company structured as a regulated investment fund. Our local team manages incorporation, ongoing administration, accounting, and compliance so you can focus on commercial objectives instead of paperwork.</t>
  </si>
  <si>
    <t>Open-ended hedge fund for institutional investors in a Cayman company wrapper</t>
  </si>
  <si>
    <t>CIMA annual reporting; AML/KYC obligations; annual audit required</t>
  </si>
  <si>
    <t>2-8 Basispoints (min 2,000 USD per month)</t>
  </si>
  <si>
    <t>Cayman Islands#Fund#Cayman Islands Exempt Company</t>
  </si>
  <si>
    <t>Cayman Islands Exempt LP</t>
  </si>
  <si>
    <t>The Cayman Islands Exempt LP is a fund structure regulated under local law and widely used by international clients of Amicorp. Exempted Limited Partnership, the most popular vehicle for PE/VC/RE funds. Our local team manages incorporation, ongoing administration, accounting, and compliance so you can focus on commercial objectives instead of paperwork.</t>
  </si>
  <si>
    <t>Full for LPs</t>
  </si>
  <si>
    <t>Cayman Islands Monetary Authority (CIMA)
Exempted Limited Partnership Act; Mutual Funds Act</t>
  </si>
  <si>
    <t>Global PE/VC fund structure; preferred by US and European institutional investors</t>
  </si>
  <si>
    <t>GP unlimited liability; CIMA registration; annual audit</t>
  </si>
  <si>
    <t>Cayman Islands#Fund#Cayman Islands Exempt LP</t>
  </si>
  <si>
    <t>The Cayman Islands LLC is a fund structure regulated under local law and widely used by international clients of Amicorp. Limited Liability Company combining partnership flexibility with corporate liability protection. Our local team manages incorporation, ongoing administration, accounting, and compliance so you can focus on commercial objectives instead of paperwork.</t>
  </si>
  <si>
    <t>Cayman Islands Monetary Authority (CIMA)
Limited Liability Companies Act; Mutual Funds Act</t>
  </si>
  <si>
    <t>Alternative to ELP for fund structures; US family office or co-investment vehicles</t>
  </si>
  <si>
    <t>Newer structure; less precedent than ELP; CIMA registration</t>
  </si>
  <si>
    <t>Cayman Islands#Fund#Cayman Islands LLC</t>
  </si>
  <si>
    <t>The Cayman Islands SPC is a fund structure regulated under local law and widely used by international clients of Amicorp. Segregated Portfolio Company allowing creation of ring-fenced portfolios within a single legal entity. Our local team manages incorporation, ongoing administration, accounting, and compliance so you can focus on commercial objectives instead of paperwork.</t>
  </si>
  <si>
    <t>Cayman Islands Monetary Authority (CIMA)
Companies Act (2023 Revision) Part XIV; Mutual Funds Act</t>
  </si>
  <si>
    <t>Multi-strategy fund with legally segregated portfolios; insurance-linked securities</t>
  </si>
  <si>
    <t>CIMA licensing; directors must understand cross-portfolio contamination risks</t>
  </si>
  <si>
    <t>Cayman Islands#Fund#Cayman Islands SPC</t>
  </si>
  <si>
    <t>Cayman Islands Unit Trust</t>
  </si>
  <si>
    <t>The Cayman Islands Unit Trust is a fund structure regulated under local law and widely used by international clients of Amicorp. Pooled investment vehicle where investors hold units representing beneficial interest. Our local team manages incorporation, ongoing administration, accounting, and compliance so you can focus on commercial objectives instead of paperwork.</t>
  </si>
  <si>
    <t>Open-ended unit trust for Middle Eastern and Asian sovereign wealth fund investors</t>
  </si>
  <si>
    <t>CIMA registration; licensed trustee required; annual audit</t>
  </si>
  <si>
    <t>Cayman Islands#Fund#Cayman Islands Unit Trust</t>
  </si>
  <si>
    <t xml:space="preserve">   CHILE</t>
  </si>
  <si>
    <t>Chile</t>
  </si>
  <si>
    <t>Paula Parra Hein</t>
  </si>
  <si>
    <t>Chile SA</t>
  </si>
  <si>
    <t>Sociedad Anónima — a public limited company structure common in Latin American and European jurisdictions.</t>
  </si>
  <si>
    <t>The Chile SA is a entity structure regulated under local law and widely used by international clients of Amicorp. Sociedad Anónima — a public limited company structure common in Latin American and European jurisdictions. Our local team manages incorporation, ongoing administration, accounting, and compliance so you can focus on commercial objectives instead of paperwork.</t>
  </si>
  <si>
    <t>Established Chile legal framework familiar to investors, banks, and counterparties</t>
  </si>
  <si>
    <t>Holding investments into and out of Chile</t>
  </si>
  <si>
    <t>SII / Conservador de Bienes Raíces / CBR
Law 18,046 on Corporations</t>
  </si>
  <si>
    <t>2</t>
  </si>
  <si>
    <t>Chile operating company or holding vehicle for South American investments</t>
  </si>
  <si>
    <t>27% FCT; dividend withholding; pension reform risk; labour law complexity</t>
  </si>
  <si>
    <t>Chile#Company#Chile SA</t>
  </si>
  <si>
    <t>Chile SPA</t>
  </si>
  <si>
    <t>Sociedad por Acciones — simplified stock corporation with flexible governance.</t>
  </si>
  <si>
    <t>The Chile SPA is a entity structure regulated under local law and widely used by international clients of Amicorp. Sociedad por Acciones — simplified stock corporation with flexible governance. Our local team manages incorporation, ongoing administration, accounting, and compliance so you can focus on commercial objectives instead of paperwork.</t>
  </si>
  <si>
    <t>SII / CBR
Law 20,190 on SpA</t>
  </si>
  <si>
    <t>Flexible single-person corporation for startups and SMEs in Chile</t>
  </si>
  <si>
    <t>27% CIT; complex BEPS/transfer pricing for related party transactions</t>
  </si>
  <si>
    <t>Chile#Company#Chile SPA</t>
  </si>
  <si>
    <t>Chile SRL</t>
  </si>
  <si>
    <t>The Chile SRL is a entity structure regulated under local law and widely used by international clients of Amicorp. Sociedad de Responsabilidad Limitada — a private limited liability company under civil law. Our local team manages incorporation, ongoing administration, accounting, and compliance so you can focus on commercial objectives instead of paperwork.</t>
  </si>
  <si>
    <t>SII
Commercial Code (Código de Comercio)</t>
  </si>
  <si>
    <t>Chile limited liability company for SMEs and JV structures</t>
  </si>
  <si>
    <t>Transfer of quotas restricted; 27% CIT; mandatory audit for large companies</t>
  </si>
  <si>
    <t>Chile#Company#Chile SRL</t>
  </si>
  <si>
    <t>Chile Trust</t>
  </si>
  <si>
    <t>The Chile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</si>
  <si>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Assets segregated</t>
  </si>
  <si>
    <t>SVS / CMF
Chilean Civil Code; Securitization Law</t>
  </si>
  <si>
    <t>Chilean fideicomiso for real estate or structured finance</t>
  </si>
  <si>
    <t>No general trust law; used mainly for securitisation; limited HNW wealth planning use</t>
  </si>
  <si>
    <t>Chile#Trust#Chile Trust</t>
  </si>
  <si>
    <t>Juan Cristobal Recart Salas</t>
  </si>
  <si>
    <t>Chile Fondo de Inversion Publico</t>
  </si>
  <si>
    <t>Chilean public investment fund regulated by the CMF.</t>
  </si>
  <si>
    <t>The Chile Fondo de Inversion Publico is a fund structure regulated under local law and widely used by international clients of Amicorp. Chilean public investment fund regulated by the CMF. Our local team manages incorporation, ongoing administration, accounting, and compliance so you can focus on commercial objectives instead of paperwork.</t>
  </si>
  <si>
    <t>CMF (Comisión para el Mercado Financiero)
Law 20,712 on Fund Administration</t>
  </si>
  <si>
    <t>Management company + investors</t>
  </si>
  <si>
    <t>Public Chilean investment fund for retail and institutional investors</t>
  </si>
  <si>
    <t>CMF authorisation; mandatory audit; distribution requirements</t>
  </si>
  <si>
    <t>Chile#Fund#Chile Fondo de Inversion Publico</t>
  </si>
  <si>
    <t>Chile Fondo de Inversion Privado</t>
  </si>
  <si>
    <t>Chilean private investment fund with fewer regulatory requirements.</t>
  </si>
  <si>
    <t>The Chile Fondo de Inversion Privado is a fund structure regulated under local law and widely used by international clients of Amicorp. Chilean private investment fund with fewer regulatory requirements. Our local team manages incorporation, ongoing administration, accounting, and compliance so you can focus on commercial objectives instead of paperwork.</t>
  </si>
  <si>
    <t>CMF (limited oversight)
Law 20,712</t>
  </si>
  <si>
    <t>1 administrator + investors</t>
  </si>
  <si>
    <t>Private PE/VC or real estate fund for accredited Chilean investors</t>
  </si>
  <si>
    <t>Limited to accredited investors; annual audit; CMF notification</t>
  </si>
  <si>
    <t>Chile#Fund#Chile Fondo de Inversion Privado</t>
  </si>
  <si>
    <t>Chile Fondo de Inversion Inmobiliario</t>
  </si>
  <si>
    <t>Chilean real estate investment fund for property portfolios.</t>
  </si>
  <si>
    <t>The Chile Fondo de Inversion Inmobiliario is a fund structure regulated under local law and widely used by international clients of Amicorp. Chilean real estate investment fund for property portfolios. Our local team manages incorporation, ongoing administration, accounting, and compliance so you can focus on commercial objectives instead of paperwork.</t>
  </si>
  <si>
    <t>CMF
Law 20,712; Real Estate Fund Regulations</t>
  </si>
  <si>
    <t>Chilean real estate investment fund for residential, commercial, or industrial properties</t>
  </si>
  <si>
    <t>CMF authorisation; mandatory property valuations; liquidity constraints</t>
  </si>
  <si>
    <t>Chile#Fund#Chile Fondo de Inversion Inmobiliario</t>
  </si>
  <si>
    <t>Chile Fondo Extranjero</t>
  </si>
  <si>
    <t>Chilean foreign fund vehicle for cross-border investment management.</t>
  </si>
  <si>
    <t>The Chile Fondo Extranjero is a fund structure regulated under local law and widely used by international clients of Amicorp. Chilean foreign fund vehicle for cross-border investment management. Our local team manages incorporation, ongoing administration, accounting, and compliance so you can focus on commercial objectives instead of paperwork.</t>
  </si>
  <si>
    <t>CMF
Law 20,712 (Title III)</t>
  </si>
  <si>
    <t>Foreign fund vehicle registered in Chile for cross-border portfolio management</t>
  </si>
  <si>
    <t>CMF registration; compliance with Chilean securities law; currency risk</t>
  </si>
  <si>
    <t>Chile#Fund#Chile Fondo Extranjero</t>
  </si>
  <si>
    <t>Chile Fondo Mutuo</t>
  </si>
  <si>
    <t>Mutual fund vehicle for retail investors with daily liquidity.</t>
  </si>
  <si>
    <t>The Chile Fondo Mutuo is a fund structure regulated under local law and widely used by international clients of Amicorp. Mutual fund vehicle for retail investors with daily liquidity. Our local team manages incorporation, ongoing administration, accounting, and compliance so you can focus on commercial objectives instead of paperwork.</t>
  </si>
  <si>
    <t>Investment Fund (UCITS-like)</t>
  </si>
  <si>
    <t>CMF
Law 20,712</t>
  </si>
  <si>
    <t>Open-ended Chilean mutual fund for retail savings and investment</t>
  </si>
  <si>
    <t>CMF compliance; mandatory administrator; redemption rights; low barriers to competition</t>
  </si>
  <si>
    <t>Chile#Fund#Chile Fondo Mutuo</t>
  </si>
  <si>
    <t xml:space="preserve">   CHINA</t>
  </si>
  <si>
    <t>China</t>
  </si>
  <si>
    <t>Hudson He</t>
  </si>
  <si>
    <t>China WFOE</t>
  </si>
  <si>
    <t>Wholly Foreign-Owned Enterprise — a limited liability company 100% owned by foreign investors for operating in China.</t>
  </si>
  <si>
    <t>The China WFOE (Wholly Foreign-Owned Enterprise) is a company structure regulated under local law and widely used by international clients of Amicorp. A WFOE is a limited liability company fully owned by foreign investors, enabling direct business operations, local hiring, and RMB invoicing in China without a Chinese partner. Our local team manages incorporation, ongoing administration, accounting, and compliance so you can focus on commercial objectives instead of paperwork.</t>
  </si>
  <si>
    <t>4-8 weeks</t>
  </si>
  <si>
    <t>Annual CIT return, VAT filings, annual inspection, statistical reporting, and UBO declarations</t>
  </si>
  <si>
    <t>Established China legal framework familiar to investors, banks, and counterparties</t>
  </si>
  <si>
    <t>100% foreign ownership — no local Chinese partner required</t>
  </si>
  <si>
    <t>RMB invoicing and ability to convert and repatriate profits</t>
  </si>
  <si>
    <t>Full operational control over employees, IP, and business activities</t>
  </si>
  <si>
    <t>Access to Chinese domestic market and supply chains</t>
  </si>
  <si>
    <t>Full operational control (unlike JV structures)</t>
  </si>
  <si>
    <t>Access to China domestic market</t>
  </si>
  <si>
    <t>LLC (WFOE)</t>
  </si>
  <si>
    <t>SAMR (State Administration for Market Regulation)
Company Law 2023; Foreign Investment Law 2020</t>
  </si>
  <si>
    <t>Foreign-owned operating company in China for manufacturing, trading, services, or technology</t>
  </si>
  <si>
    <t>CIT 25% (15% in high-tech zones); multi-agency registration; FX repatriation restrictions; sector restrictions under foreign investment negative list</t>
  </si>
  <si>
    <t>Confirm with local office</t>
  </si>
  <si>
    <t>China#Company#China WFOE</t>
  </si>
  <si>
    <t>China Rep Office</t>
  </si>
  <si>
    <t>Representative Office — a non-revenue generating liaison and market research presence for foreign companies in China.</t>
  </si>
  <si>
    <t>The China Representative Office is a presence structure regulated under local law and widely used by international clients of Amicorp. A Rep Office allows foreign companies to establish a presence in China for liaison, market research, and promotional activities — it cannot directly generate revenue or sign contracts on behalf of the foreign parent. Our local team manages registration, ongoing administration, and compliance so you can focus on commercial objectives instead of paperwork.</t>
  </si>
  <si>
    <t>Annual registration renewal, tax filing on deemed profit basis, annual inspection, and statistical reporting</t>
  </si>
  <si>
    <t>End-to-end Amicorp service: registration, registered address, compliance, and reporting</t>
  </si>
  <si>
    <t>Low-cost China market entry without full company incorporation</t>
  </si>
  <si>
    <t>Market research, liaison, and promotional activities</t>
  </si>
  <si>
    <t>No minimum registered capital requirement</t>
  </si>
  <si>
    <t>Suitable as a precursor to full WFOE establishment</t>
  </si>
  <si>
    <t>No separate legal personality (extension of parent)</t>
  </si>
  <si>
    <t>No registered capital requirement</t>
  </si>
  <si>
    <t>Simpler registration than WFOE</t>
  </si>
  <si>
    <t>Low-cost market entry vehicle</t>
  </si>
  <si>
    <t>Representative Office</t>
  </si>
  <si>
    <t>None (parent company liable)</t>
  </si>
  <si>
    <t>SAMR / Municipal Commerce Bureau
Regulations on Administration of Foreign-Invested Enterprises 2019</t>
  </si>
  <si>
    <t>Yes (parent company)</t>
  </si>
  <si>
    <t>Chief Representative (min. 1)</t>
  </si>
  <si>
    <t>Foreign companies entering China for market research, liaison, and sourcing without generating local revenue</t>
  </si>
  <si>
    <t>Cannot sign contracts or generate revenue; taxed on deemed profit basis; annual registration renewal; cannot hire Chinese employees directly (must use licensed HR agency)</t>
  </si>
  <si>
    <t>China#Company#China Rep Office</t>
  </si>
  <si>
    <t xml:space="preserve">   CURACAO</t>
  </si>
  <si>
    <t>Curacao</t>
  </si>
  <si>
    <t>Anneliese Garcia-deJongh</t>
  </si>
  <si>
    <t>Curacao BV</t>
  </si>
  <si>
    <t>USD, USD/EUR/GBP</t>
  </si>
  <si>
    <t>Besloten Vennootschap — Dutch-style private limited company with minimal capital requirements.</t>
  </si>
  <si>
    <t>The Curacao BV is a entity structure regulated under local law and widely used by international clients of Amicorp. Besloten Vennootschap — Dutch-style private limited company with minimal capital requirements. Our local team manages incorporation, ongoing administration, accounting, and compliance so you can focus on commercial objectives instead of paperwork.</t>
  </si>
  <si>
    <t>Established Curacao legal framework familiar to investors, banks, and counterparties</t>
  </si>
  <si>
    <t>Holding investments into and out of Curacao</t>
  </si>
  <si>
    <t>Civil Law (Dutch-based)</t>
  </si>
  <si>
    <t>Curaçao Chamber of Commerce / CAft
Civil Code of Curaçao Book 2</t>
  </si>
  <si>
    <t>Dutch Caribbean holding company for LatAm and Caribbean investments</t>
  </si>
  <si>
    <t>FATF grey-list risk; limited treaty access post-kingdom restructuring; substance required</t>
  </si>
  <si>
    <t>Curacao#Company#Curacao BV</t>
  </si>
  <si>
    <t>Curacao NV</t>
  </si>
  <si>
    <t>Naamloze Vennootschap — public limited company suitable for larger enterprises and listings.</t>
  </si>
  <si>
    <t>The Curacao NV is a entity structure regulated under local law and widely used by international clients of Amicorp. Naamloze Vennootschap — public limited company suitable for larger enterprises and listings. Our local team manages incorporation, ongoing administration, accounting, and compliance so you can focus on commercial objectives instead of paperwork.</t>
  </si>
  <si>
    <t>Curaçao Chamber of Commerce
Civil Code of Curaçao Book 2</t>
  </si>
  <si>
    <t>Larger Curaçao company for public offerings or financial services licensing</t>
  </si>
  <si>
    <t>FATF scrutiny; substance requirements; limited treaty network</t>
  </si>
  <si>
    <t>Curacao#Company#Curacao NV</t>
  </si>
  <si>
    <t>Jan Frederik Stembord</t>
  </si>
  <si>
    <t>The Curacao NV is a fund structure regulated under local law and widely used by international clients of Amicorp. Naamloze Vennootschap — public limited company suitable for larger enterprises and listings. Our local team manages incorporation, ongoing administration, accounting, and compliance so you can focus on commercial objectives instead of paperwork.</t>
  </si>
  <si>
    <t>CBA (Central Bank of Curaçao and Sint Maarten)
National Ordinance on Investment Institutions</t>
  </si>
  <si>
    <t>Investment fund vehicle for Caribbean-based investment structures</t>
  </si>
  <si>
    <t>CBA licensing; FATF risk; limited treaty access</t>
  </si>
  <si>
    <t>Curacao#Fund#Curacao NV</t>
  </si>
  <si>
    <t>The Curacao BV is a fund structure regulated under local law and widely used by international clients of Amicorp. Besloten Vennootschap — Dutch-style private limited company with minimal capital requirements. Our local team manages incorporation, ongoing administration, accounting, and compliance so you can focus on commercial objectives instead of paperwork.</t>
  </si>
  <si>
    <t>CBA
National Ordinance on Investment Institutions</t>
  </si>
  <si>
    <t>BV fund vehicle for Caribbean or LatAm investment structures</t>
  </si>
  <si>
    <t>CBA licensing required; FATF scrutiny; substance requirements</t>
  </si>
  <si>
    <t>Curacao#Fund#Curacao BV</t>
  </si>
  <si>
    <t>Curacao CV</t>
  </si>
  <si>
    <t>Commanditaire Vennootschap — limited partnership under Dutch/Curacao law.</t>
  </si>
  <si>
    <t>The Curacao CV is a fund structure regulated under local law and widely used by international clients of Amicorp. Commanditaire Vennootschap — limited partnership under Dutch/Curacao law. Our local team manages incorporation, ongoing administration, accounting, and compliance so you can focus on commercial objectives instead of paperwork.</t>
  </si>
  <si>
    <t>Civil Law (Dutch)</t>
  </si>
  <si>
    <t>CBA / Chamber of Commerce
Civil Code of Curaçao</t>
  </si>
  <si>
    <t>Tax-transparent Caribbean limited partnership for PE or VC fund structures</t>
  </si>
  <si>
    <t>GP unlimited liability; FATF; CBA registration</t>
  </si>
  <si>
    <t>Curacao#Fund#Curacao CV</t>
  </si>
  <si>
    <t>Foundation</t>
  </si>
  <si>
    <t>Curacao SPF</t>
  </si>
  <si>
    <t>Stichting Particulier Fonds — Curacao private foundation for wealth management.</t>
  </si>
  <si>
    <t>The Curacao SPF is a fund structure regulated under local law and widely used by international clients of Amicorp. Stichting Particulier Fonds — Curacao private foundation for wealth management. Our local team manages incorporation, ongoing administration, accounting, and compliance so you can focus on commercial objectives instead of paperwork.</t>
  </si>
  <si>
    <t>Full (no members)</t>
  </si>
  <si>
    <t>Chamber of Commerce Curaçao
National Ordinance on Private Foundations (SPF)</t>
  </si>
  <si>
    <t>N/A (foundation board)</t>
  </si>
  <si>
    <t>Private family foundation for wealth preservation and succession planning in the Caribbean</t>
  </si>
  <si>
    <t>FATF; substance; limited international recognition vs Liechtenstein/Panama foundation</t>
  </si>
  <si>
    <t>Curacao#Foundation#Curacao SPF</t>
  </si>
  <si>
    <t xml:space="preserve">Curacao Fund B.V. Compartment 
</t>
  </si>
  <si>
    <t>New share class / compartment within existing Curacao Fund B.V. Compartment., providing investors with fast-track access to a fully established fund platform with all operational infrastructure in place.</t>
  </si>
  <si>
    <t>Curacao Fund B.V. Compartment — New Share Class / Compartment. Rather than establishing a standalone fund from scratch, investors and managers subscribe to a new share class within this existing, fully operational fund structure. All regulatory approvals, administrative infrastructure, compliance frameworks, AML/KYC processes, auditing relationships, and legal documentation are already in place. This dramatically reduces both time-to-market and costs, allowing managers to focus on investment strategy rather than operational build-out. A single annual fee of 0.45% AUA covers all services including administration, NAV calculation, regulatory filings, transfer agent, MLRO, audit coordination, and compliance.</t>
  </si>
  <si>
    <t>CBA licensing; FATF risk; limited treaty access; existing fund compliance obligations apply</t>
  </si>
  <si>
    <t>no</t>
  </si>
  <si>
    <t xml:space="preserve">Curacao#Fund#Curacao Fund B.V. Compartment 
</t>
  </si>
  <si>
    <t>Curacao Trust</t>
  </si>
  <si>
    <t>The Curacao Trust is a fund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</si>
  <si>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Civil Law (Hague Convention)</t>
  </si>
  <si>
    <t>CBA
National Ordinance on Trusts 2012</t>
  </si>
  <si>
    <t>Caribbean trust structure for LatAm HNW families using Dutch Caribbean framework</t>
  </si>
  <si>
    <t>CBA-licensed trustee required; FATF risk; civil law trust recognition issues</t>
  </si>
  <si>
    <t>Curacao#Fund#Curacao Trust</t>
  </si>
  <si>
    <t>Curacao FGR</t>
  </si>
  <si>
    <t>Fonds voor Gemene Rekening — Dutch/Curacao contractual fund vehicle.</t>
  </si>
  <si>
    <t>The Curacao FGR is a fund structure regulated under local law and widely used by international clients of Amicorp. Fonds voor Gemene Rekening — Dutch/Curacao contractual fund vehicle. Our local team manages incorporation, ongoing administration, accounting, and compliance so you can focus on commercial objectives instead of paperwork.</t>
  </si>
  <si>
    <t>Full (through management company)</t>
  </si>
  <si>
    <t>CBA
National Ordinance on Investment Institutions; Dutch FGR concept</t>
  </si>
  <si>
    <t>Caribbean contractual fund vehicle for institutional investors</t>
  </si>
  <si>
    <t>Management company required; CBA licensing; FATF scrutiny</t>
  </si>
  <si>
    <t>Curacao#Fund#Curacao FGR</t>
  </si>
  <si>
    <t>Curacao Foundation (Stichting)</t>
  </si>
  <si>
    <t>Curaçao Stichting — a foundation without members or shareholders used for asset holding and private purposes</t>
  </si>
  <si>
    <t>The Curaçao Foundation (Stichting) is a legal entity under Book 2 of the Curaçao Civil Code holding assets in its own name for purposes set out in its articles, widely used for asset protection, group holding, and private wealth arrangements in a Dutch-Caribbean civil law setting.</t>
  </si>
  <si>
    <t>Annual board review, accounting records, FATCA/CRS classification, and UBO declarations where required</t>
  </si>
  <si>
    <t>Families ring-fencing assets from personal risk</t>
  </si>
  <si>
    <t>Orphan structures for financing transactions</t>
  </si>
  <si>
    <t>Charitable and private purpose arrangements</t>
  </si>
  <si>
    <t>Holding shares in operating or investment companies</t>
  </si>
  <si>
    <t>No shareholders or members — assets held for stated purposes</t>
  </si>
  <si>
    <t>Dutch-Caribbean civil law with established case law</t>
  </si>
  <si>
    <t>May conduct commercial activities via subsidiaries</t>
  </si>
  <si>
    <t>Board-managed with flexible governance in the articles</t>
  </si>
  <si>
    <t>Full (assets segregated from founder)</t>
  </si>
  <si>
    <t>Curaçao Chamber of Commerce
Book 2, Curaçao Civil Code</t>
  </si>
  <si>
    <t>Yes (registration only)</t>
  </si>
  <si>
    <t>None (board min. 1)</t>
  </si>
  <si>
    <t>Asset protection and orphan SPV holding in structured finance transactions</t>
  </si>
  <si>
    <t>No distributions inconsistent with purpose clause; substance and UBO transparency requirements apply</t>
  </si>
  <si>
    <t>Curacao#Foundation#Curacao Foundation (Stichting)</t>
  </si>
  <si>
    <t>Curacao STAK</t>
  </si>
  <si>
    <t>Curaçao Stichting Administratiekantoor separating legal ownership from economic interest via depositary receipts</t>
  </si>
  <si>
    <t>The Curaçao STAK holds shares of an underlying company in its own name and issues depositary receipts (certificaten) to investors, separating voting control from economic entitlement — a proven Dutch-Caribbean tool for succession planning and control retention.</t>
  </si>
  <si>
    <t>Annual board review, administration of depositary receipts, accounting records, and UBO declarations</t>
  </si>
  <si>
    <t>Family businesses separating control from economic benefit</t>
  </si>
  <si>
    <t>Succession planning across generations</t>
  </si>
  <si>
    <t>Employee participation and incentive plans</t>
  </si>
  <si>
    <t>Anonymity-sensitive shareholding arrangements</t>
  </si>
  <si>
    <t>Legal vs. economic ownership split via depositary receipts</t>
  </si>
  <si>
    <t>Voting control concentrated in the STAK board</t>
  </si>
  <si>
    <t>Certificate holders receive dividends without control</t>
  </si>
  <si>
    <t>Recognised Dutch/Curaçao certification practice</t>
  </si>
  <si>
    <t>Foundation (STAK)</t>
  </si>
  <si>
    <t>Full (assets segregated)</t>
  </si>
  <si>
    <t>Certification of family company shares to retain control while passing economic benefit to heirs</t>
  </si>
  <si>
    <t>Depositary receipt terms must be carefully drafted; UBO look-through applies to certificate holders</t>
  </si>
  <si>
    <t>Curacao#Foundation#Curacao STAK</t>
  </si>
  <si>
    <t>CYPRUS</t>
  </si>
  <si>
    <t>Cyprus</t>
  </si>
  <si>
    <t>Elia Nicolaou</t>
  </si>
  <si>
    <t>Cyprus Ltd</t>
  </si>
  <si>
    <t>EUR</t>
  </si>
  <si>
    <t>Private Limited Company offering limited liability to shareholders under common law</t>
  </si>
  <si>
    <t>The Cyprus Ltd is an entity structure regulated under local common law and widely used by international clients for holding, trading, IP and finance structures. Our local team manages incorporation, ongoing administration, accounting, corporate secretarial, payroll, immigration and compliance so you can focus on commercial objectives instead of paperwork.</t>
  </si>
  <si>
    <t>Established Cyprus and EU regulatory framework familiar to investors, banks, and counterparties</t>
  </si>
  <si>
    <t>End-to-end Amicorp service:incorporation, ongoing administration, accounting, corporate secretarial, payroll, immigration and compliance</t>
  </si>
  <si>
    <t>Wide treaty network and regulatory standing supporting cross-border investment and capital flows</t>
  </si>
  <si>
    <t>Holding investments into and out of Cyprus including headquartering. NO tax on dividends received or paid out (subject to minor exceptions)</t>
  </si>
  <si>
    <t xml:space="preserve">IP Box regime with favourable tax rate of as low as 4.6% for qualifying IPs. </t>
  </si>
  <si>
    <t>Operating subsidiaries with market access to EU, Middle East, India, USA and Africa</t>
  </si>
  <si>
    <t>Separate legal entity under common law</t>
  </si>
  <si>
    <t>Tax efficient - corporate tax at 15% can be reduced via NID to 5%</t>
  </si>
  <si>
    <t>Registrar of Companies Cyprus
Companies Law Cap. 113</t>
  </si>
  <si>
    <t>Yes - nominee shareholder possible</t>
  </si>
  <si>
    <t>EU holding company or IP holding vehicle leveraging Cyprus's 15% CIT and treaty network</t>
  </si>
  <si>
    <t>Pillar Two impact for large groups; substance requirements; ATAD compliance</t>
  </si>
  <si>
    <t>EUR 125–450/hr (confirm with local office)</t>
  </si>
  <si>
    <t>Cyprus#Company#Cyprus Ltd</t>
  </si>
  <si>
    <t>Cyprus Trust</t>
  </si>
  <si>
    <t>Discretionary or fixed trust structure for asset protection and succession planning under Cyprus law.</t>
  </si>
  <si>
    <t>The Cyprus Trust is a trust structure regulated under the Cyprus International Trusts Law and widely used by international clients of Amicorp. It provides strong asset protection, tax efficiency, and succession planning benefits for high-net-worth individuals and families. Cyprus International Trusts offer confidentiality, flexible distribution, and no Cyprus tax on foreign-source income or gains. Our local team manages establishment, ongoing administration, compliance, and reporting so you can focus on your wealth objectives.</t>
  </si>
  <si>
    <t>Established Cyprus legal framework familiar to investors, banks, and counterparties</t>
  </si>
  <si>
    <t>End-to-end Amicorp service: trust establishment, trustee services, administration, accounting, and reporting</t>
  </si>
  <si>
    <t>No Cyprus tax on foreign-source income or capital gains</t>
  </si>
  <si>
    <t>Cyprus Securities and Exchange Commission (CySEC)
International Trusts Law of 1992 (as amended)</t>
  </si>
  <si>
    <t>International discretionary trust for HNW families with cross-border assets seeking EU-based structure with strong legal framework</t>
  </si>
  <si>
    <t>CRS/FATCA reporting obligations; trustee must be licensed; settlor must not be Cyprus resident at time of establishment</t>
  </si>
  <si>
    <t>Cyprus#Trust#Cyprus Trust</t>
  </si>
  <si>
    <t>Cyprus VCIC</t>
  </si>
  <si>
    <t>Variable Capital Investment Company under Cyprus fund regulations.</t>
  </si>
  <si>
    <t>The Cyprus VCIC is a fund structure regulated under local law and widely used by international clients of Amicorp. Variable Capital Investment Company under Cyprus fund regulations. Our local team manages incorporation, ongoing administration, accounting, and compliance so you can focus on commercial objectives instead of paperwork.</t>
  </si>
  <si>
    <t>Treaty network, regulatory standing and professional and regulated service providers supporting cross-border investment and capital flows</t>
  </si>
  <si>
    <t>PE/VC sponsors raising committed capital from institutional investors</t>
  </si>
  <si>
    <t>CySEC (Cyprus Securities and Exchange Commission)
Law 124(I)/2018 on AIFs; Investment Funds Law</t>
  </si>
  <si>
    <t>Cyprus variable-NAV investment company for open-ended funds</t>
  </si>
  <si>
    <t>CySEC authorisation; annual audit; AIFMD compliance costs</t>
  </si>
  <si>
    <t>Cyprus#Fund#Cyprus VCIC</t>
  </si>
  <si>
    <t>Cyprus FCIC</t>
  </si>
  <si>
    <t>Fixed Capital Investment Company for closed-ended fund structures in Cyprus.</t>
  </si>
  <si>
    <t>The Cyprus FCIC is a fund structure regulated under local law and widely used by international clients of Amicorp. Fixed Capital Investment Company for closed-ended fund structures in Cyprus. Our local team manages incorporation, ongoing administration, accounting, and compliance so you can focus on commercial objectives instead of paperwork.</t>
  </si>
  <si>
    <t>Cyprus closed-ended fund for PE, real estate or infrastructure strategies</t>
  </si>
  <si>
    <t>CySEC authorisation; Pillar Two for large fund groups; annual audit</t>
  </si>
  <si>
    <t>Cyprus#Fund#Cyprus FCIC</t>
  </si>
  <si>
    <t>Cyprus LP</t>
  </si>
  <si>
    <t>The Cyprus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</si>
  <si>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 xml:space="preserve">Tax neutral flow-through </t>
  </si>
  <si>
    <t>CySEC / Registrar of Companies
The Partnership and Business Names Law Cap. 116; AIF Law 2018</t>
  </si>
  <si>
    <t>EU AIF in LP form for PE/VC strategies; alternative to Luxembourg SCSp; look-through structure; tax on each LP/investor</t>
  </si>
  <si>
    <t>GP unlimited liability; CySEC; AIFMD compliance; Pillar Two impact</t>
  </si>
  <si>
    <t>Cyprus#Fund#Cyprus LP</t>
  </si>
  <si>
    <t>Cyprus CF</t>
  </si>
  <si>
    <t>Common Fund — contractual fund structure without separate legal personality.</t>
  </si>
  <si>
    <t>The Cyprus CF is a fund structure regulated under local law and widely used by international clients of Amicorp. Common Fund — contractual fund structure without separate legal personality. Our local team manages incorporation, ongoing administration, accounting, and compliance so you can focus on commercial objectives instead of paperwork.</t>
  </si>
  <si>
    <t>Cyprus contractual fund without legal personality for UCITS or AIF strategies</t>
  </si>
  <si>
    <t>Management company required; CySEC compliance; distribution restrictions by country</t>
  </si>
  <si>
    <t>Cyprus#Fund#Cyprus CF</t>
  </si>
  <si>
    <t xml:space="preserve">   DELAWARE</t>
  </si>
  <si>
    <t>Delaware</t>
  </si>
  <si>
    <t>Bianca Bergantino</t>
  </si>
  <si>
    <t>Delaware LLC multi-member Non-US Manager</t>
  </si>
  <si>
    <t>Multi-member LLC managed by non-US persons, offering pass-through taxation.</t>
  </si>
  <si>
    <t>The Delaware LLC multi-member Non-US Manager is a entity structure regulated under local law and widely used by international clients of Amicorp. Multi-member LLC managed by non-US persons, offering pass-through taxation. Our local team manages incorporation, ongoing administration, accounting, and compliance so you can focus on commercial objectives instead of paperwork.</t>
  </si>
  <si>
    <t>Annual franchise tax, federal/state filings, registered agent renewal</t>
  </si>
  <si>
    <t>Established Delaware legal framework familiar to investors, banks, and counterparties</t>
  </si>
  <si>
    <t>Holding investments into and out of Delaware</t>
  </si>
  <si>
    <t>Delaware Secretary of State / IRS
Delaware LLC Act (Title 6, Chapter 18)</t>
  </si>
  <si>
    <t>Partial (name/agent public)</t>
  </si>
  <si>
    <t>International joint venture or multi-investor structure with non-US management</t>
  </si>
  <si>
    <t>US FATCA/FBAR compliance; potential ECI for non-US members depending on activities</t>
  </si>
  <si>
    <t>Delaware#Company#Delaware LLC multi-member Non-US Manager</t>
  </si>
  <si>
    <t>Delaware LLC multi-member US Manager</t>
  </si>
  <si>
    <t>Multi-member LLC with US-based management, ideal for domestic operations.</t>
  </si>
  <si>
    <t>The Delaware LLC multi-member US Manager is a entity structure regulated under local law and widely used by international clients of Amicorp. Multi-member LLC with US-based management, ideal for domestic operations. Our local team manages incorporation, ongoing administration, accounting, and compliance so you can focus on commercial objectives instead of paperwork.</t>
  </si>
  <si>
    <t>Partial</t>
  </si>
  <si>
    <t>US domestic operations or joint venture with US-based management team</t>
  </si>
  <si>
    <t>US person manager creates US nexus; PFIC rules for non-US investors in certain funds</t>
  </si>
  <si>
    <t>Delaware#Company#Delaware LLC multi-member US Manager</t>
  </si>
  <si>
    <t>Delaware LLC single-member US Manager</t>
  </si>
  <si>
    <t>Single-member LLC with US manager, treated as disregarded entity for tax.</t>
  </si>
  <si>
    <t>The Delaware LLC single-member US Manager is a entity structure regulated under local law and widely used by international clients of Amicorp. Single-member LLC with US manager, treated as disregarded entity for tax. Our local team manages incorporation, ongoing administration, accounting, and compliance so you can focus on commercial objectives instead of paperwork.</t>
  </si>
  <si>
    <t>US startup subsidiary or holding company treated as disregarded entity for tax</t>
  </si>
  <si>
    <t>SMLLC may not provide liability protection in all jurisdictions if single-member</t>
  </si>
  <si>
    <t>Delaware#Company#Delaware LLC single-member US Manager</t>
  </si>
  <si>
    <t>Delaware LLC single-member Non-US Manager</t>
  </si>
  <si>
    <t>Single-member LLC with non-US manager for international structuring.</t>
  </si>
  <si>
    <t>The Delaware LLC single-member Non-US Manager is a entity structure regulated under local law and widely used by international clients of Amicorp. Single-member LLC with non-US manager for international structuring. Our local team manages incorporation, ongoing administration, accounting, and compliance so you can focus on commercial objectives instead of paperwork.</t>
  </si>
  <si>
    <t>Non-US controlled US entity for holding US real estate or investments</t>
  </si>
  <si>
    <t>FIRPTA applies to US real estate; FDAP withholding on US-source passive income</t>
  </si>
  <si>
    <t>Delaware#Company#Delaware LLC single-member Non-US Manager</t>
  </si>
  <si>
    <t>Delaware C Corp</t>
  </si>
  <si>
    <t>C Corporation subject to corporate income tax, suitable for venture-backed companies.</t>
  </si>
  <si>
    <t>The Delaware C Corp is a entity structure regulated under local law and widely used by international clients of Amicorp. C Corporation subject to corporate income tax, suitable for venture-backed companies. Our local team manages incorporation, ongoing administration, accounting, and compliance so you can focus on commercial objectives instead of paperwork.</t>
  </si>
  <si>
    <t>C Corporation</t>
  </si>
  <si>
    <t>Delaware Secretary of State / IRS
Delaware General Corporation Law (DGCL)</t>
  </si>
  <si>
    <t>VC-backed startup issuing preferred stock; US listing preparation vehicle</t>
  </si>
  <si>
    <t>Double taxation; franchise tax; complex cap table management</t>
  </si>
  <si>
    <t>Delaware#Company#Delaware C Corp</t>
  </si>
  <si>
    <t>Delaware Ltd</t>
  </si>
  <si>
    <t>The Delaware Ltd is a fund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</si>
  <si>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Delaware Secretary of State / SEC (if applicable)
Delaware General Corporation Law</t>
  </si>
  <si>
    <t>US-domiciled closed-end investment fund in corporate form</t>
  </si>
  <si>
    <t>SEC Reg D required for private placement; UBTI for tax-exempt US investors</t>
  </si>
  <si>
    <t>Delaware#Fund#Delaware Ltd</t>
  </si>
  <si>
    <t>Delaware LP</t>
  </si>
  <si>
    <t>The Delaware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</si>
  <si>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Delaware Secretary of State / SEC
Delaware Revised Uniform Limited Partnership Act</t>
  </si>
  <si>
    <t>US-domiciled PE or VC fund for US institutional and tax-exempt investors</t>
  </si>
  <si>
    <t>UBTI for tax-exempt US LPs on leveraged investments; SEC registration if 15+ investors</t>
  </si>
  <si>
    <t>Delaware#Fund#Delaware LP</t>
  </si>
  <si>
    <t>Delaware LLC</t>
  </si>
  <si>
    <t>The Delaware LLC is a fund structure regulated under local law and widely used by international clients of Amicorp. Limited Liability Company combining partnership flexibility with corporate liability protection. Our local team manages incorporation, ongoing administration, accounting, and compliance so you can focus on commercial objectives instead of paperwork.</t>
  </si>
  <si>
    <t>Delaware Secretary of State / SEC
Delaware LLC Act</t>
  </si>
  <si>
    <t>Alternative to LP for US fund; all members enjoy full limited liability</t>
  </si>
  <si>
    <t>US partnership tax rules; SEC registration threshold</t>
  </si>
  <si>
    <t>Delaware#Fund#Delaware LLC</t>
  </si>
  <si>
    <t>Delaware DST</t>
  </si>
  <si>
    <t>Delaware Statutory Trust for real estate and structured investment holdings.</t>
  </si>
  <si>
    <t>The Delaware DST is a fund structure regulated under local law and widely used by international clients of Amicorp. Delaware Statutory Trust for real estate and structured investment holdings. Our local team manages incorporation, ongoing administration, accounting, and compliance so you can focus on commercial objectives instead of paperwork.</t>
  </si>
  <si>
    <t>Delaware Secretary of State / SEC
Delaware Statutory Trust Act (12 Del. C. §3801)</t>
  </si>
  <si>
    <t>1 trustee + 1 beneficial owner</t>
  </si>
  <si>
    <t>Real estate 1031 exchange replacement property vehicle for US investors</t>
  </si>
  <si>
    <t>Cannot refinance or make improvements during holding period; illiquid</t>
  </si>
  <si>
    <t>Delaware#Fund#Delaware DST</t>
  </si>
  <si>
    <t>Delaware C-Corp</t>
  </si>
  <si>
    <t>C Corporation structured as an investment fund vehicle.</t>
  </si>
  <si>
    <t>The Delaware C-Corp is a fund structure regulated under local law and widely used by international clients of Amicorp. C Corporation structured as an investment fund vehicle. Our local team manages incorporation, ongoing administration, accounting, and compliance so you can focus on commercial objectives instead of paperwork.</t>
  </si>
  <si>
    <t>Delaware Secretary of State / SEC
Delaware General Corporation Law; Investment Company Act 1940</t>
  </si>
  <si>
    <t>Regulated investment company (mutual fund / BDC) for retail US investors</t>
  </si>
  <si>
    <t>SEC registration; complex 1940 Act compliance; distribution requirements</t>
  </si>
  <si>
    <t>Delaware#Fund#Delaware C-Corp</t>
  </si>
  <si>
    <t>Delaware S-Corp</t>
  </si>
  <si>
    <t>S Corporation with pass-through taxation for qualifying US investors.</t>
  </si>
  <si>
    <t>The Delaware S-Corp is a fund structure regulated under local law and widely used by international clients of Amicorp. S Corporation with pass-through taxation for qualifying US investors. Our local team manages incorporation, ongoing administration, accounting, and compliance so you can focus on commercial objectives instead of paperwork.</t>
  </si>
  <si>
    <t>Delaware Secretary of State / IRS
Delaware General Corporation Law; IRC Subchapter S</t>
  </si>
  <si>
    <t>1 (max 100 US-person shareholders)</t>
  </si>
  <si>
    <t>Domestic fund or investment vehicle for qualifying US individual investors seeking pass-through</t>
  </si>
  <si>
    <t>Only US person shareholders; max 100; one class of stock only; IRA/pension plans excluded</t>
  </si>
  <si>
    <t>Delaware#Fund#Delaware S-Corp</t>
  </si>
  <si>
    <t>Delaware Series LLC</t>
  </si>
  <si>
    <t>Series LLC allowing separate series with independent assets and liabilities.</t>
  </si>
  <si>
    <t>The Delaware Series LLC is a fund structure regulated under local law and widely used by international clients of Amicorp. Series LLC allowing separate series with independent assets and liabilities. Our local team manages incorporation, ongoing administration, accounting, and compliance so you can focus on commercial objectives instead of paperwork.</t>
  </si>
  <si>
    <t>Full (statutory series segregation)</t>
  </si>
  <si>
    <t>Delaware Secretary of State
Delaware LLC Act §18-215</t>
  </si>
  <si>
    <t>Multi-strategy investment fund with separate liability for each investment series</t>
  </si>
  <si>
    <t>Series recognition varies by state; IRS treatment of series unsettled in some respects</t>
  </si>
  <si>
    <t>Delaware#Fund#Delaware Series LLC</t>
  </si>
  <si>
    <t xml:space="preserve">   DUBAI</t>
  </si>
  <si>
    <t>Dubai</t>
  </si>
  <si>
    <t>Kajal Dhora</t>
  </si>
  <si>
    <t>Dubai DIFC Innovation Company</t>
  </si>
  <si>
    <t>Dubai International Financial Centre entity for fintech and innovation startups.</t>
  </si>
  <si>
    <t>The Dubai DIFC Innovation Company is a entity structure regulated under local law and widely used by international clients of Amicorp. Dubai International Financial Centre entity for fintech and innovation startups. Our local team manages incorporation, ongoing administration, accounting, and compliance so you can focus on commercial objectives instead of paperwork.</t>
  </si>
  <si>
    <t>Established Dubai legal framework familiar to investors, banks, and counterparties</t>
  </si>
  <si>
    <t>Holding investments into and out of Dubai</t>
  </si>
  <si>
    <t>DIFC Registrar of Companies
DIFC Companies Law (DIFC Law No. 5 of 2018)</t>
  </si>
  <si>
    <t>Yes (DIFC register)</t>
  </si>
  <si>
    <t>Fintech, AI, or tech startup establishing in DIFC with reduced minimum capital and simplified governance</t>
  </si>
  <si>
    <t>Cannot conduct business outside DIFC without additional licence; must maintain DIFC office</t>
  </si>
  <si>
    <t>Dubai#Company#Dubai DIFC Innovation Company</t>
  </si>
  <si>
    <t>Dubai DIFC Prescribed Company</t>
  </si>
  <si>
    <t>DIFC prescribed company for specific regulated financial activities.</t>
  </si>
  <si>
    <t>The Dubai DIFC Prescribed Company is a entity structure regulated under local law and widely used by international clients of Amicorp. DIFC prescribed company for specific regulated financial activities. Our local team manages incorporation, ongoing administration, accounting, and compliance so you can focus on commercial objectives instead of paperwork.</t>
  </si>
  <si>
    <t>DIFC Registrar of Companies
DIFC Companies Law; DIFC Prescribed Companies Regulations 2018</t>
  </si>
  <si>
    <t>Holding company for GCC or global investment portfolio without active DIFC business requirement</t>
  </si>
  <si>
    <t>Must have qualifying DIFC nexus; no commercial banking licence</t>
  </si>
  <si>
    <t>…count holders will be charged at an hourly rate: USD 300/hr</t>
  </si>
  <si>
    <t>Dubai#Company#Dubai DIFC Prescribed Company</t>
  </si>
  <si>
    <t>Dubai DIFC Private Limited Company</t>
  </si>
  <si>
    <t>Private limited company within the DIFC free zone with common law framework.</t>
  </si>
  <si>
    <t>The Dubai DIFC Private Limited Company is a entity structure regulated under local law and widely used by international clients of Amicorp. Private limited company within the DIFC free zone with common law framework. Our local team manages incorporation, ongoing administration, accounting, and compliance so you can focus on commercial objectives instead of paperwork.</t>
  </si>
  <si>
    <t>Regional HQ, financial services company, or asset management firm in DIFC</t>
  </si>
  <si>
    <t>DFSA licence required for financial services activities; office presence mandatory</t>
  </si>
  <si>
    <t>Dubai#Company#Dubai DIFC Private Limited Company</t>
  </si>
  <si>
    <t>Dubai DIFC Active Enterprise</t>
  </si>
  <si>
    <t>DIFC active enterprise license for operational businesses in the financial centre.</t>
  </si>
  <si>
    <t>The Dubai DIFC Active Enterprise is a entity structure regulated under local law and widely used by international clients of Amicorp. DIFC active enterprise license for operational businesses in the financial centre. Our local team manages incorporation, ongoing administration, accounting, and compliance so you can focus on commercial objectives instead of paperwork.</t>
  </si>
  <si>
    <t>Operating business within DIFC conducting active trade or professional services</t>
  </si>
  <si>
    <t>Requires physical office; DFSA oversight if conducting regulated activities</t>
  </si>
  <si>
    <t>Dubai#Company#Dubai DIFC Active Enterprise</t>
  </si>
  <si>
    <t>Dubai Dubai Others</t>
  </si>
  <si>
    <t>Other Dubai entity structures including mainland and free zone options.</t>
  </si>
  <si>
    <t>The Dubai Dubai Others is a entity structure regulated under local law and widely used by international clients of Amicorp. Other Dubai entity structures including mainland and free zone options. Our local team manages incorporation, ongoing administration, accounting, and compliance so you can focus on commercial objectives instead of paperwork.</t>
  </si>
  <si>
    <t>Other</t>
  </si>
  <si>
    <t>Civil Law / Common Law</t>
  </si>
  <si>
    <t>Varies</t>
  </si>
  <si>
    <t>DED / Free Zone Authority
UAE Federal Companies Law No. 32 of 2021</t>
  </si>
  <si>
    <t>Onshore UAE mainland entity or non-DIFC free zone company for UAE market access</t>
  </si>
  <si>
    <t>UAE CT 9%; sector-specific foreign ownership restrictions remain in some areas</t>
  </si>
  <si>
    <t>Dubai#Company#Dubai Dubai Others</t>
  </si>
  <si>
    <t>Dubai DIFC Incorporated Cell</t>
  </si>
  <si>
    <t>Incorporated cell within a DIFC protected cell company structure.</t>
  </si>
  <si>
    <t>The Dubai DIFC Incorporated Cell is a entity structure regulated under local law and widely used by international clients of Amicorp. Incorporated cell within a DIFC protected cell company structure. Our local team manages incorporation, ongoing administration, accounting, and compliance so you can focus on commercial objectives instead of paperwork.</t>
  </si>
  <si>
    <t>DIFC Registrar of Companies / DFSA
DIFC Companies Law; Protected Cell Companies Regulations</t>
  </si>
  <si>
    <t>Insurance captive or multi-class investment vehicle within DIFC framework</t>
  </si>
  <si>
    <t>DFSA authorisation required for insurance or fund activities; complex governance</t>
  </si>
  <si>
    <t>included</t>
  </si>
  <si>
    <t>Dubai#Fund - compartment#Dubai DIFC Incorporated Cell</t>
  </si>
  <si>
    <t>Dubai DIFC Foundation</t>
  </si>
  <si>
    <t>DIFC Foundation under the common-law DIFC framework for wealth structuring and succession planning</t>
  </si>
  <si>
    <t>The Dubai DIFC Foundation is established under the DIFC Foundations Law No. 3 of 2018 within the Dubai International Financial Centre, combining common-law certainty, an English-language court system, and UAE tax neutrality for family wealth and asset holding.</t>
  </si>
  <si>
    <t>1-2 weeks</t>
  </si>
  <si>
    <t>Annual confirmation with DIFC Registrar, accounting records, ESR and UBO compliance, and FATCA/CRS classification</t>
  </si>
  <si>
    <t>GCC and international families structuring succession</t>
  </si>
  <si>
    <t>Sharia-neutral estate planning solutions</t>
  </si>
  <si>
    <t>Holding UAE and international real estate or shares</t>
  </si>
  <si>
    <t>Consolidation of family office assets</t>
  </si>
  <si>
    <t>Common-law foundation with DIFC Courts jurisdiction</t>
  </si>
  <si>
    <t>No forced heirship — charter governs succession</t>
  </si>
  <si>
    <t>0% UAE tax environment for qualifying activities</t>
  </si>
  <si>
    <t>Founder may retain reserved powers</t>
  </si>
  <si>
    <t>Common Law (DIFC)</t>
  </si>
  <si>
    <t>DIFC Registrar of Companies
DIFC Foundations Law No. 3 of 2018</t>
  </si>
  <si>
    <t>No (private register)</t>
  </si>
  <si>
    <t>None (council min. 2)</t>
  </si>
  <si>
    <t>Succession planning and asset consolidation for GCC-based international families</t>
  </si>
  <si>
    <t>DIFC substance and registered agent requirements; UAE CT registration assessment required</t>
  </si>
  <si>
    <t>USD On actuals</t>
  </si>
  <si>
    <t>administrative/accounting services: USD 150-250/hr
corporate secretarial and legal services: USD 150-400/hr
trust lawyer, director, or equivalent: USD 1,200/hr</t>
  </si>
  <si>
    <t>Dubai#Foundation#Dubai DIFC Foundation</t>
  </si>
  <si>
    <t xml:space="preserve">   UNITED ARAB EMIRATES</t>
  </si>
  <si>
    <t>United Arab Emirates</t>
  </si>
  <si>
    <t>United Arab Emirates Managed Free Zone</t>
  </si>
  <si>
    <t>UAE managed free zone company with simplified setup and 100% foreign ownership.</t>
  </si>
  <si>
    <t>The United Arab Emirates Managed Free Zone is a entity structure regulated under local law and widely used by international clients of Amicorp. UAE managed free zone company with simplified setup and 100% foreign ownership. Our local team manages incorporation, ongoing administration, accounting, and compliance so you can focus on commercial objectives instead of paperwork.</t>
  </si>
  <si>
    <t>Established United Arab Emirates legal framework familiar to investors, banks, and counterparties</t>
  </si>
  <si>
    <t>Holding investments into and out of United Arab Emirates</t>
  </si>
  <si>
    <t>Relevant Free Zone Authority (JAFZA, DMCC, etc.)
UAE Federal Companies Law No. 32 of 2021; Free Zone Regulations</t>
  </si>
  <si>
    <t>Trading or holding company in a UAE managed free zone for 0% corporate tax</t>
  </si>
  <si>
    <t>Qualifying income restrictions under UAE CT rules; cannot freely access UAE mainland market</t>
  </si>
  <si>
    <t>United Arab Emirates#Company#United Arab Emirates Managed Free Zone</t>
  </si>
  <si>
    <t>United Arab Emirates AE Other Freezones</t>
  </si>
  <si>
    <t>Entity in other UAE free zones including JAFZA, DMCC, ADAFZ, and others.</t>
  </si>
  <si>
    <t>The United Arab Emirates AE Other Freezones is a entity structure regulated under local law and widely used by international clients of Amicorp. Entity in other UAE free zones including JAFZA, DMCC, ADAFZ, and others. Our local team manages incorporation, ongoing administration, accounting, and compliance so you can focus on commercial objectives instead of paperwork.</t>
  </si>
  <si>
    <t>JAFZA / DMCC / ADAFZ / specific FZ authority
UAE CT Law No. 47 of 2022; Free Zone Regulations</t>
  </si>
  <si>
    <t>Sector-specific free zone company (logistics in JAFZA; commodities in DMCC; media in Dubai Media City)</t>
  </si>
  <si>
    <t>Qualifying income rules apply; substance requirements; cannot sell to UAE mainland without customs</t>
  </si>
  <si>
    <t>United Arab Emirates#Company#United Arab Emirates AE Other Freezones</t>
  </si>
  <si>
    <t>United Arab Emirates LLC</t>
  </si>
  <si>
    <t>The United Arab Emirates LLC is a entity structure regulated under local law and widely used by international clients of Amicorp. Limited Liability Company combining partnership flexibility with corporate liability protection. Our local team manages incorporation, ongoing administration, accounting, and compliance so you can focus on commercial objectives instead of paperwork.</t>
  </si>
  <si>
    <t>DED / MOCCAE / relevant emirate authority
UAE Federal Companies Law No. 32 of 2021</t>
  </si>
  <si>
    <t>1 (2+ for mainland LLC historically)</t>
  </si>
  <si>
    <t>Mainland UAE operating company for retail, real estate, or services businesses</t>
  </si>
  <si>
    <t>UAE CT 9% on profits over AED 375,000; VAT 5%; sector-specific licensing required</t>
  </si>
  <si>
    <t>United Arab Emirates#Company#United Arab Emirates LLC</t>
  </si>
  <si>
    <t>United Arab Emirates RAKIC</t>
  </si>
  <si>
    <t>Ras Al Khaimah International Corporate Centre entity.</t>
  </si>
  <si>
    <t>The United Arab Emirates RAKIC is a entity structure regulated under local law and widely used by international clients of Amicorp. Ras Al Khaimah International Corporate Centre entity. Our local team manages incorporation, ongoing administration, accounting, and compliance so you can focus on commercial objectives instead of paperwork.</t>
  </si>
  <si>
    <t>RAK ICC (International Corporate Centre)
RAK ICC Business Companies Regulations 2016</t>
  </si>
  <si>
    <t>Cost-effective offshore holding company as alternative to BVI/Cayman within UAE</t>
  </si>
  <si>
    <t>Cannot conduct business onshore UAE; UAE CT exemption subject to substance review</t>
  </si>
  <si>
    <t>United Arab Emirates#Company#United Arab Emirates RAKIC</t>
  </si>
  <si>
    <t>United Arab Emirates UAE Others</t>
  </si>
  <si>
    <t>Other UAE entity structures across various emirates and free zones.</t>
  </si>
  <si>
    <t>The United Arab Emirates UAE Others is a entity structure regulated under local law and widely used by international clients of Amicorp. Other UAE entity structures across various emirates and free zones. Our local team manages incorporation, ongoing administration, accounting, and compliance so you can focus on commercial objectives instead of paperwork.</t>
  </si>
  <si>
    <t>Relevant federal or emirate authority
UAE Federal Companies Law No. 32 of 2021</t>
  </si>
  <si>
    <t>Sector-specific or bespoke UAE onshore entity (civil company, branch, etc.)</t>
  </si>
  <si>
    <t>UAE CT 9%; sector regulations may restrict foreign ownership</t>
  </si>
  <si>
    <t>United Arab Emirates#Company#United Arab Emirates UAE Others</t>
  </si>
  <si>
    <t>United Arab Emirates Investment Company</t>
  </si>
  <si>
    <t>UAE investment company structured for collective fund management.</t>
  </si>
  <si>
    <t>The United Arab Emirates Investment Company is a fund structure regulated under local law and widely used by international clients of Amicorp. UAE investment company structured for collective fund management. Our local team manages incorporation, ongoing administration, accounting, and compliance so you can focus on commercial objectives instead of paperwork.</t>
  </si>
  <si>
    <t>Common Law / Civil Law</t>
  </si>
  <si>
    <t>SCA (Securities &amp; Commodities Authority) or DFSA
SCA Decision No. 37/R of 2014; DIFC Collective Investment Law</t>
  </si>
  <si>
    <t>UAE-domiciled regulated investment company for MENA-focused funds</t>
  </si>
  <si>
    <t>SCA or DFSA licensing requirements; annual audit; AML/KYC obligations</t>
  </si>
  <si>
    <t>United Arab Emirates#Fund#United Arab Emirates Investment Company</t>
  </si>
  <si>
    <t>United Arab Emirates Investment Trust</t>
  </si>
  <si>
    <t>UAE investment trust for regulated fund administration.</t>
  </si>
  <si>
    <t>The United Arab Emirates Investment Trust is a fund structure regulated under local law and widely used by international clients of Amicorp. UAE investment trust for regulated fund administration. Our local team manages incorporation, ongoing administration, accounting, and compliance so you can focus on commercial objectives instead of paperwork.</t>
  </si>
  <si>
    <t>DFSA
DIFC Collective Investment Law 2010</t>
  </si>
  <si>
    <t>1 trustee + investors</t>
  </si>
  <si>
    <t>DIFC-regulated investment trust for institutional Middle Eastern investors</t>
  </si>
  <si>
    <t>DFSA CIR compliance; minimum fund size requirements; annual audit</t>
  </si>
  <si>
    <t>United Arab Emirates#Fund#United Arab Emirates Investment Trust</t>
  </si>
  <si>
    <t>United Arab Emirates LP</t>
  </si>
  <si>
    <t>The United Arab Emirates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</si>
  <si>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DFSA / ADGM RA
DIFC Limited Partnership Law 2006</t>
  </si>
  <si>
    <t>PE or VC fund based in UAE targeting GCC and South Asian investments</t>
  </si>
  <si>
    <t>GP unlimited liability; DFSA authorisation for fund managers</t>
  </si>
  <si>
    <t>United Arab Emirates#Fund#United Arab Emirates LP</t>
  </si>
  <si>
    <t>United Arab Emirates PCC</t>
  </si>
  <si>
    <t>Protected Cell Company with statutorily segregated cell assets.</t>
  </si>
  <si>
    <t>The United Arab Emirates PCC is a fund structure regulated under local law and widely used by international clients of Amicorp. Protected Cell Company with statutorily segregated cell assets. Our local team manages incorporation, ongoing administration, accounting, and compliance so you can focus on commercial objectives instead of paperwork.</t>
  </si>
  <si>
    <t>DFSA
DIFC Companies Law; DFSA CIR</t>
  </si>
  <si>
    <t>Multi-class insurance captive or investment fund with statutory cell segregation</t>
  </si>
  <si>
    <t>DFSA authorisation; complex cell governance; cross-border recognition</t>
  </si>
  <si>
    <t>United Arab Emirates#Fund#United Arab Emirates PCC</t>
  </si>
  <si>
    <t>United Arab Emirates ICC</t>
  </si>
  <si>
    <t>Incorporated Cell Company where each cell has separate legal personality.</t>
  </si>
  <si>
    <t>The United Arab Emirates ICC is a fund structure regulated under local law and widely used by international clients of Amicorp. Incorporated Cell Company where each cell has separate legal personality. Our local team manages incorporation, ongoing administration, accounting, and compliance so you can focus on commercial objectives instead of paperwork.</t>
  </si>
  <si>
    <t>Full (each cell separate legal person)</t>
  </si>
  <si>
    <t>Multi-sub-fund structure where each incorporated cell has separate legal personality</t>
  </si>
  <si>
    <t>DFSA licensing; complex administration; higher cost than PCC</t>
  </si>
  <si>
    <t>United Arab Emirates#Fund#United Arab Emirates ICC</t>
  </si>
  <si>
    <t xml:space="preserve">   FLORIDA</t>
  </si>
  <si>
    <t>Florida</t>
  </si>
  <si>
    <t>Michael McCarty</t>
  </si>
  <si>
    <t>Florida LLC multi-member Non-US Manager</t>
  </si>
  <si>
    <t>The Florida LLC multi-member Non-US Manager is a entity structure regulated under local law and widely used by international clients of Amicorp. Multi-member LLC managed by non-US persons, offering pass-through taxation. Our local team manages incorporation, ongoing administration, accounting, and compliance so you can focus on commercial objectives instead of paperwork.</t>
  </si>
  <si>
    <t>Established Florida legal framework familiar to investors, banks, and counterparties</t>
  </si>
  <si>
    <t>Holding investments into and out of Florida</t>
  </si>
  <si>
    <t>Florida Division of Corporations / IRS
Florida Revised LLC Act (Ch. 605, F.S.)</t>
  </si>
  <si>
    <t>US operations or joint venture managed by international management team</t>
  </si>
  <si>
    <t>No state income tax but federal pass-through taxation applies; ITIN required for non-US persons</t>
  </si>
  <si>
    <t>Florida#Company#Florida LLC multi-member Non-US Manager</t>
  </si>
  <si>
    <t>Florida LLC multi-member US Manager</t>
  </si>
  <si>
    <t>The Florida LLC multi-member US Manager is a entity structure regulated under local law and widely used by international clients of Amicorp. Multi-member LLC with US-based management, ideal for domestic operations. Our local team manages incorporation, ongoing administration, accounting, and compliance so you can focus on commercial objectives instead of paperwork.</t>
  </si>
  <si>
    <t>US domestic operations with Florida nexus and US-based management</t>
  </si>
  <si>
    <t>Annual report required; federal tax obligations; nexus in other states may trigger taxation</t>
  </si>
  <si>
    <t>Florida#Company#Florida LLC multi-member US Manager</t>
  </si>
  <si>
    <t>Florida LLC single-member US Manager</t>
  </si>
  <si>
    <t>The Florida LLC single-member US Manager is a entity structure regulated under local law and widely used by international clients of Amicorp. Single-member LLC with US manager, treated as disregarded entity for tax. Our local team manages incorporation, ongoing administration, accounting, and compliance so you can focus on commercial objectives instead of paperwork.</t>
  </si>
  <si>
    <t>Solo entrepreneur or single-owner US business in Florida</t>
  </si>
  <si>
    <t>SMLLC protection from personal liability may be tested in court; SE tax applicable</t>
  </si>
  <si>
    <t>Florida#Company#Florida LLC single-member US Manager</t>
  </si>
  <si>
    <t>Florida LLC single-member Non-US Manager</t>
  </si>
  <si>
    <t>The Florida LLC single-member Non-US Manager is a entity structure regulated under local law and widely used by international clients of Amicorp. Single-member LLC with non-US manager for international structuring. Our local team manages incorporation, ongoing administration, accounting, and compliance so you can focus on commercial objectives instead of paperwork.</t>
  </si>
  <si>
    <t>Non-US controlled US entity for holding US real estate or investments in Florida</t>
  </si>
  <si>
    <t>FIRPTA on real estate disposition; 30% FDAP withholding on US-source passive income</t>
  </si>
  <si>
    <t>Florida#Company#Florida LLC single-member Non-US Manager</t>
  </si>
  <si>
    <t>Florida C Corp</t>
  </si>
  <si>
    <t>Florida corporation for US market access, taxed federally as a C corporation</t>
  </si>
  <si>
    <t>The Florida C Corp is incorporated under the Florida Business Corporation Act and taxed as a C corporation at federal (21%) and Florida state (5.5%) level, offering full US market access, no state personal income tax environment, and investor-recognised share structures.</t>
  </si>
  <si>
    <t>1-3 business days</t>
  </si>
  <si>
    <t>Annual report to the Florida Division of Corporations, federal and state corporate tax returns, and registered agent maintenance</t>
  </si>
  <si>
    <t>International groups entering the US market</t>
  </si>
  <si>
    <t>Startups seeking US investor participation</t>
  </si>
  <si>
    <t>US real estate blockers for non-resident investors</t>
  </si>
  <si>
    <t>Import/export businesses via Florida ports</t>
  </si>
  <si>
    <t>Standard US corporate form recognised by all investors</t>
  </si>
  <si>
    <t>Shareholder liability limited to capital contributed</t>
  </si>
  <si>
    <t>Unlimited share classes and preferred stock possible</t>
  </si>
  <si>
    <t>No Florida personal income tax for residents</t>
  </si>
  <si>
    <t>Corporation</t>
  </si>
  <si>
    <t>Florida Division of Corporations (Sunbiz)
Florida Business Corporation Act, Ch. 607 F.S.</t>
  </si>
  <si>
    <t>US market-entry subsidiary or investment blocker for international shareholders</t>
  </si>
  <si>
    <t>Double taxation (corporate + dividend); federal filing obligations incl. Forms 5472/1120 for foreign owners</t>
  </si>
  <si>
    <t>Florida#Company#Florida C Corp</t>
  </si>
  <si>
    <t xml:space="preserve">   GERMANY</t>
  </si>
  <si>
    <t>Germany</t>
  </si>
  <si>
    <t>Diego Pesciatini</t>
  </si>
  <si>
    <t>Germany GmbH</t>
  </si>
  <si>
    <t>Gesellschaft mit beschränkter Haftung — German/Swiss private limited company.</t>
  </si>
  <si>
    <t>The Germany GmbH is a entity structure regulated under local law and widely used by international clients of Amicorp. Gesellschaft mit beschränkter Haftung — German/Swiss private limited company. Our local team manages incorporation, ongoing administration, accounting, and compliance so you can focus on commercial objectives instead of paperwork.</t>
  </si>
  <si>
    <t>7-14 business days</t>
  </si>
  <si>
    <t>Annual financial statements, tax filings, UBO register updates, statutory audit if thresholds met</t>
  </si>
  <si>
    <t>Established Germany legal framework familiar to investors, banks, and counterparties</t>
  </si>
  <si>
    <t>Holding investments into and out of Germany</t>
  </si>
  <si>
    <t>Amtsgericht (local court registry)
GmbH-Gesetz (GmbHG) 1892 (as amended)</t>
  </si>
  <si>
    <t>Yes (Handelsregister)</t>
  </si>
  <si>
    <t>German operating subsidiary for foreign multinationals or domestic SME holding company</t>
  </si>
  <si>
    <t>EUR 25,000 minimum paid-in capital; complex labour law (Mitbestimmung for large companies)</t>
  </si>
  <si>
    <t>…y rates depending on the required qualification: EUR 100-250/hr</t>
  </si>
  <si>
    <t>Germany#Company#Germany GmbH</t>
  </si>
  <si>
    <t>Germany AG</t>
  </si>
  <si>
    <t>Aktiengesellschaft — German/Swiss public limited company for larger enterprises.</t>
  </si>
  <si>
    <t>The Germany AG is a entity structure regulated under local law and widely used by international clients of Amicorp. Aktiengesellschaft — German/Swiss public limited company for larger enterprises. Our local team manages incorporation, ongoing administration, accounting, and compliance so you can focus on commercial objectives instead of paperwork.</t>
  </si>
  <si>
    <t>Amtsgericht / BaFin (for listed)
Aktiengesetz (AktG) 1965</t>
  </si>
  <si>
    <t>German listed company or large enterprise requiring public share issuance</t>
  </si>
  <si>
    <t>EUR 50,000 minimum capital; mandatory supervisory board; complex corporate governance</t>
  </si>
  <si>
    <t>Germany#Company#Germany AG</t>
  </si>
  <si>
    <t xml:space="preserve">   HONG KONG</t>
  </si>
  <si>
    <t>Hong Kong</t>
  </si>
  <si>
    <t>Kenneth Lee</t>
  </si>
  <si>
    <t>Hong Kong Ltd</t>
  </si>
  <si>
    <t>The Hong Kong Ltd is a entity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</si>
  <si>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Established Hong Kong legal framework familiar to investors, banks, and counterparties</t>
  </si>
  <si>
    <t>Holding investments into and out of Hong Kong</t>
  </si>
  <si>
    <t>Companies Registry HK
Companies Ordinance (Cap. 622)</t>
  </si>
  <si>
    <t>Asia-Pacific holding company and gateway to China and ASEAN markets</t>
  </si>
  <si>
    <t>Political risk post-2019; national security law implications; CRS reporting</t>
  </si>
  <si>
    <t>Hong Kong#Company#Hong Kong Ltd</t>
  </si>
  <si>
    <t>Kin Lai</t>
  </si>
  <si>
    <t>Hong Kong OFC</t>
  </si>
  <si>
    <t>Hong Kong Open-ended Fund Company for flexible investment fund structuring.</t>
  </si>
  <si>
    <t>The Hong Kong OFC is a fund structure regulated under local law and widely used by international clients of Amicorp. Hong Kong Open-ended Fund Company for flexible investment fund structuring. Our local team manages incorporation, ongoing administration, accounting, and compliance so you can focus on commercial objectives instead of paperwork.</t>
  </si>
  <si>
    <t>Securities &amp; Futures Commission (SFC)
Securities and Futures Ordinance (Cap. 571); OFC Code 2021</t>
  </si>
  <si>
    <t>1 director + 1 shareholder</t>
  </si>
  <si>
    <t>HK-domiciled open-ended investment fund competing with Cayman SPC for Asia-based managers</t>
  </si>
  <si>
    <t>SFC regulation; mandatory HK investment manager; annual audit</t>
  </si>
  <si>
    <t>Hong Kong#Fund#Hong Kong OFC</t>
  </si>
  <si>
    <t>Hong Kong LP</t>
  </si>
  <si>
    <t>The Hong Kong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</si>
  <si>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SFC / Companies Registry
Limited Partnership Fund Ordinance (Cap. 637) 2020</t>
  </si>
  <si>
    <t>HK-domiciled PE/VC fund for Asia-focused strategies; alternative to Cayman ELP</t>
  </si>
  <si>
    <t>SFC licensing for manager; annual audit; relatively new (2020) – less precedent than Cayman</t>
  </si>
  <si>
    <t>Hong Kong#Fund#Hong Kong LP</t>
  </si>
  <si>
    <t>Hong Kong Unit Trust</t>
  </si>
  <si>
    <t>The Hong Kong Unit Trust is a fund structure regulated under local law and widely used by international clients of Amicorp. Pooled investment vehicle where investors hold units representing beneficial interest. Our local team manages incorporation, ongoing administration, accounting, and compliance so you can focus on commercial objectives instead of paperwork.</t>
  </si>
  <si>
    <t>SFC
Securities and Futures Ordinance (Cap. 571)</t>
  </si>
  <si>
    <t>Authorised retail fund sold to Hong Kong and Asian retail investors</t>
  </si>
  <si>
    <t>SFC Code compliance; annual audit; complex disclosure requirements for retail funds</t>
  </si>
  <si>
    <t>Hong Kong#Fund#Hong Kong Unit Trust</t>
  </si>
  <si>
    <t>Hong Kong CLS</t>
  </si>
  <si>
    <t>Hong Kong Closed-ended Limited Scheme for sophisticated investors.</t>
  </si>
  <si>
    <t>The Hong Kong CLS is a fund structure regulated under local law and widely used by international clients of Amicorp. Hong Kong Closed-ended Limited Scheme for sophisticated investors. Our local team manages incorporation, ongoing administration, accounting, and compliance so you can focus on commercial objectives instead of paperwork.</t>
  </si>
  <si>
    <t>SFC
Companies Ordinance; SFC Code on Closed-ended Funds</t>
  </si>
  <si>
    <t>Closed-ended fund for sophisticated investors; PE or real estate vehicle</t>
  </si>
  <si>
    <t>SFC authorisation; HKEX listing requirements for listed CLS; annual reporting</t>
  </si>
  <si>
    <t>Hong Kong#Fund#Hong Kong CLS</t>
  </si>
  <si>
    <t>Hong Kong Business Trust</t>
  </si>
  <si>
    <t>Business trust structure for operating assets and REIT-like arrangements.</t>
  </si>
  <si>
    <t>The Hong Kong Business Trust is a fund structure regulated under local law and widely used by international clients of Amicorp. Business trust structure for operating assets and REIT-like arrangements. Our local team manages incorporation, ongoing administration, accounting, and compliance so you can focus on commercial objectives instead of paperwork.</t>
  </si>
  <si>
    <t>SFC / HKEX
Securities and Futures Ordinance; SFC Business Trust Guidelines</t>
  </si>
  <si>
    <t>Business trust listed on HKEX for operating infrastructure or real estate assets</t>
  </si>
  <si>
    <t>HKEX listing rules; SFC oversight; mandatory distribution requirements; unitholders' rights</t>
  </si>
  <si>
    <t>Hong Kong#Fund#Hong Kong Business Trust</t>
  </si>
  <si>
    <t xml:space="preserve">   INDIA</t>
  </si>
  <si>
    <t>India</t>
  </si>
  <si>
    <t>Naresh Sachwani  </t>
  </si>
  <si>
    <t>India Private Limited</t>
  </si>
  <si>
    <t>INR</t>
  </si>
  <si>
    <t>Indian private limited company with limited liability and restricted share transfer.</t>
  </si>
  <si>
    <t>The India Private Limited is a entity structure regulated under local law and widely used by international clients of Amicorp. Indian private limited company with limited liability and restricted share transfer. Our local team manages incorporation, ongoing administration, accounting, and compliance so you can focus on commercial objectives instead of paperwork.</t>
  </si>
  <si>
    <t>Established India legal framework familiar to investors, banks, and counterparties</t>
  </si>
  <si>
    <t>Holding investments into and out of India</t>
  </si>
  <si>
    <t>MCA (Ministry of Corporate Affairs) / ROC
Companies Act 2013</t>
  </si>
  <si>
    <t>Yes (MCA21)</t>
  </si>
  <si>
    <t>Operating subsidiary or JV in India; domestic startup or tech company</t>
  </si>
  <si>
    <t>Complex compliance (ROC, RBI, FEMA); mandatory audits; dividend distribution tax</t>
  </si>
  <si>
    <t>India#Company#India Private Limited</t>
  </si>
  <si>
    <t>India Trust</t>
  </si>
  <si>
    <t>The India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</si>
  <si>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State Charity Commissioner / Income Tax Dept.
Indian Trusts Act 1882; Income Tax Act 1961</t>
  </si>
  <si>
    <t>Family succession trust or philanthropic vehicle for HNW Indian families</t>
  </si>
  <si>
    <t>Taxed at MMR unless charitable; FEMA restrictions on assets outside India</t>
  </si>
  <si>
    <t>India#Trust#India Trust</t>
  </si>
  <si>
    <t>India AIF Trust</t>
  </si>
  <si>
    <t>Alternative Investment Fund trust structure regulated under Indian AIF regulations.</t>
  </si>
  <si>
    <t>The India AIF Trust is a trust structure regulated under local law and widely used by international clients of Amicorp. Alternative Investment Fund trust structure regulated under Indian AIF regulations. Our local team manages incorporation, ongoing administration, accounting, and compliance so you can focus on commercial objectives instead of paperwork.</t>
  </si>
  <si>
    <t>SEBI (Securities Exchange Board of India)
SEBI AIF Regulations 2012</t>
  </si>
  <si>
    <t>Yes (SEBI registration)</t>
  </si>
  <si>
    <t>1 trustee + 2+ investors</t>
  </si>
  <si>
    <t>Domestic Indian AIF (Cat I/II/III) for PE, VC, or hedge fund strategies in India</t>
  </si>
  <si>
    <t>SEBI registration; minimum corpus INR 20Cr; minimum investor commitment INR 1Cr</t>
  </si>
  <si>
    <t>India#Trust#India AIF Trust</t>
  </si>
  <si>
    <t>India LP</t>
  </si>
  <si>
    <t>The India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</si>
  <si>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SEBI / MCA
SEBI AIF Regulations 2012; LLP Act 2008</t>
  </si>
  <si>
    <t>PE/VC fund with LP structure for India-focused strategies</t>
  </si>
  <si>
    <t>SEBI registration; FEMA compliance for foreign investors</t>
  </si>
  <si>
    <t>India#Fund#India LP</t>
  </si>
  <si>
    <t>India Company</t>
  </si>
  <si>
    <t>Fund structured as an investment company with share capital.</t>
  </si>
  <si>
    <t>The India Company is a fund structure regulated under local law and widely used by international clients of Amicorp. Fund structured as an investment company with share capital. Our local team manages incorporation, ongoing administration, accounting, and compliance so you can focus on commercial objectives instead of paperwork.</t>
  </si>
  <si>
    <t>SEBI / MCA
Companies Act 2013; SEBI regulations</t>
  </si>
  <si>
    <t>Investment company holding Indian listed or unlisted securities</t>
  </si>
  <si>
    <t>CIT 22%; dividend tax; FEMA restrictions for foreign investors</t>
  </si>
  <si>
    <t>India#Fund#India Company</t>
  </si>
  <si>
    <t>India SPC</t>
  </si>
  <si>
    <t>The India SPC is a fund structure regulated under local law and widely used by international clients of Amicorp. Segregated Portfolio Company allowing creation of ring-fenced portfolios within a single legal entity. Our local team manages incorporation, ongoing administration, accounting, and compliance so you can focus on commercial objectives instead of paperwork.</t>
  </si>
  <si>
    <t>SEBI
SEBI AIF Regulations</t>
  </si>
  <si>
    <t>Multi-strategy Indian AIF with separate sub-funds</t>
  </si>
  <si>
    <t>SEBI approval; complex India regulatory environment</t>
  </si>
  <si>
    <t>India#Fund#India SPC</t>
  </si>
  <si>
    <t>The India Trust is a fund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</si>
  <si>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SEBI
SEBI AIF Regulations 2012; Indian Trusts Act 1882</t>
  </si>
  <si>
    <t>SEBI-registered Category I or II AIF structured as trust for PE/VC investments in India</t>
  </si>
  <si>
    <t>SEBI compliance costs; mandatory audit; minimum INR 20Cr corpus</t>
  </si>
  <si>
    <t>Not available</t>
  </si>
  <si>
    <t>India#Fund#India Trust</t>
  </si>
  <si>
    <t>India GIFT City AIF</t>
  </si>
  <si>
    <t>Alternative Investment Fund in GIFT City IFSC with tax incentives and USD-denominated operations</t>
  </si>
  <si>
    <t>The India GIFT City AIF is registered with the IFSCA in the Gujarat International Finance Tec-City, allowing USD-denominated pooling from global investors with a 10-year tax holiday for the fund manager and exemptions typically unavailable onshore in India.</t>
  </si>
  <si>
    <t>6-10 weeks (incl. IFSCA registration)</t>
  </si>
  <si>
    <t>IFSCA periodic reporting, NAV computation, annual audit, FATCA/CRS reporting, and KYC/AML compliance</t>
  </si>
  <si>
    <t>Global managers pooling capital for India strategies</t>
  </si>
  <si>
    <t>NRI and foreign investors accessing Indian markets</t>
  </si>
  <si>
    <t>India-focused private equity and venture funds</t>
  </si>
  <si>
    <t>Feeder structures into domestic Indian AIFs</t>
  </si>
  <si>
    <t>USD-denominated operations within India's IFSC</t>
  </si>
  <si>
    <t>Significant tax exemptions vs. onshore AIFs</t>
  </si>
  <si>
    <t>IFSCA single-regulator regime</t>
  </si>
  <si>
    <t>No Indian capital gains tax for non-resident investors on specified securities</t>
  </si>
  <si>
    <t>Fund (AIF)</t>
  </si>
  <si>
    <t>Common Law (IFSC regime)</t>
  </si>
  <si>
    <t>Per fund vehicle (trust/company/LLP)</t>
  </si>
  <si>
    <t>International Financial Services Centres Authority (IFSCA)
IFSCA (Fund Management) Regulations 2022</t>
  </si>
  <si>
    <t>Regulator register</t>
  </si>
  <si>
    <t>Min. corpus USD 3M; accredited investors</t>
  </si>
  <si>
    <t>USD-denominated India-focused fund accessing global capital with IFSC tax incentives</t>
  </si>
  <si>
    <t>Minimum corpus and investor thresholds; IFSC substance requirements; evolving regulatory regime</t>
  </si>
  <si>
    <t>India#Fund#India GIFT City AIF</t>
  </si>
  <si>
    <t>India GIFT City PLC (FME)</t>
  </si>
  <si>
    <t>Private limited Fund Management Entity in GIFT City licensed by IFSCA to manage IFSC funds</t>
  </si>
  <si>
    <t>The India GIFT City PLC (FME) is a private limited company incorporated under the Companies Act 2013 and licensed by IFSCA as a Fund Management Entity to sponsor and manage AIFs and other schemes in the IFSC, benefiting from a 10-year tax holiday on management income.</t>
  </si>
  <si>
    <t>6-10 weeks (incl. IFSCA licence)</t>
  </si>
  <si>
    <t>IFSCA reporting, ROC annual filings, statutory audit, income tax returns, and net-worth maintenance</t>
  </si>
  <si>
    <t>Fund managers establishing an IFSC management platform</t>
  </si>
  <si>
    <t>Global asset managers with India strategies</t>
  </si>
  <si>
    <t>Sponsors of GIFT City AIFs and retail schemes</t>
  </si>
  <si>
    <t>Portfolio managers serving offshore clients</t>
  </si>
  <si>
    <t>10-year tax holiday on eligible management fee income</t>
  </si>
  <si>
    <t>Single IFSCA licence covering multiple fund types</t>
  </si>
  <si>
    <t>Lower net-worth requirements than comparable offshore hubs</t>
  </si>
  <si>
    <t>Access to India talent pool at IFSC cost levels</t>
  </si>
  <si>
    <t>Company (FME)</t>
  </si>
  <si>
    <t>Full (limited by shares)</t>
  </si>
  <si>
    <t>IFSCA / Registrar of Companies
IFSCA (Fund Management) Regulations 2022; Companies Act 2013</t>
  </si>
  <si>
    <t>Licensed management company sponsoring and operating GIFT City investment funds</t>
  </si>
  <si>
    <t>Minimum net-worth (USD 75K-750K by category); key personnel residency and substance requirements</t>
  </si>
  <si>
    <t>USD As per industry norms</t>
  </si>
  <si>
    <t>India#Company#India GIFT City PLC (FME)</t>
  </si>
  <si>
    <t>India AIF</t>
  </si>
  <si>
    <t>SEBI-registered Alternative Investment Fund for pooled investment strategies in India</t>
  </si>
  <si>
    <t>The India AIF is a privately pooled investment vehicle registered with SEBI under the AIF Regulations 2012 in Category I, II, or III, typically structured as a trust, and is the standard onshore route for private equity, venture capital, credit, and hedge strategies in India.</t>
  </si>
  <si>
    <t>8-12 weeks (incl. SEBI registration)</t>
  </si>
  <si>
    <t>SEBI quarterly/annual reporting, NAV computation, annual audit, PPM compliance audit, and income tax filings</t>
  </si>
  <si>
    <t>Domestic and global managers running India strategies</t>
  </si>
  <si>
    <t>Private equity, venture, and credit funds</t>
  </si>
  <si>
    <t>Family offices formalising pooled investments</t>
  </si>
  <si>
    <t>Co-investment platforms alongside institutional LPs</t>
  </si>
  <si>
    <t>SEBI-regulated framework trusted by institutional LPs</t>
  </si>
  <si>
    <t>Category II pass-through taxation for investors</t>
  </si>
  <si>
    <t>Flexible trust deed and contribution agreement terms</t>
  </si>
  <si>
    <t>Established ecosystem of trustees, RTAs, and custodians</t>
  </si>
  <si>
    <t>Per trust structure; trustee-held assets</t>
  </si>
  <si>
    <t>Securities and Exchange Board of India (SEBI)
SEBI (Alternative Investment Funds) Regulations 2012</t>
  </si>
  <si>
    <t>Min. corpus INR 20 Cr; min. ticket INR 1 Cr</t>
  </si>
  <si>
    <t>Onshore pooled vehicle for private equity, venture capital, or credit investment in India</t>
  </si>
  <si>
    <t>Investor minimums and 1,000-investor cap; Category III taxed at fund level; sponsor commitment required</t>
  </si>
  <si>
    <t>India#Fund#India AIF</t>
  </si>
  <si>
    <t>India Liaison Office</t>
  </si>
  <si>
    <t>RBI-approved representative office of a foreign company for liaison activities in India</t>
  </si>
  <si>
    <t>The India Liaison Office is established with Reserve Bank of India approval under FEMA to represent a foreign parent — undertaking market research, sourcing, and communication activities — without carrying on commercial or revenue-generating business in India.</t>
  </si>
  <si>
    <t>8-12 weeks (incl. RBI/AD bank approval)</t>
  </si>
  <si>
    <t>Annual Activity Certificate to RBI, ROC filings, income tax return, and audited receipts/payments account</t>
  </si>
  <si>
    <t>Foreign companies exploring the Indian market</t>
  </si>
  <si>
    <t>Groups coordinating with Indian suppliers</t>
  </si>
  <si>
    <t>Brands building presence before full entry</t>
  </si>
  <si>
    <t>Head offices overseeing Indian distributors</t>
  </si>
  <si>
    <t>Low-cost, low-risk first step into India</t>
  </si>
  <si>
    <t>No Indian corporate tax if activities remain within scope</t>
  </si>
  <si>
    <t>Funded entirely by inward remittances from parent</t>
  </si>
  <si>
    <t>Straightforward conversion path to Branch or subsidiary</t>
  </si>
  <si>
    <t>Liaison / Representative Office</t>
  </si>
  <si>
    <t>Parent company bears liability</t>
  </si>
  <si>
    <t>Reserve Bank of India / ROC
FEMA 1999; Master Direction on Establishment of BO/LO/PO</t>
  </si>
  <si>
    <t>N/A (extension of parent)</t>
  </si>
  <si>
    <t>Market-entry representation, sourcing coordination, and communication for a foreign parent</t>
  </si>
  <si>
    <t>Strictly no commercial income; profitable parent track record required; 3-year initial approval term</t>
  </si>
  <si>
    <t>India#Company#India Liaison Office</t>
  </si>
  <si>
    <t>India Will</t>
  </si>
  <si>
    <t>Testamentary Will drafted under Indian succession law for orderly transfer of Indian assets</t>
  </si>
  <si>
    <t>The India Will is a testamentary instrument under the Indian Succession Act 1925 directing distribution of Indian movable and immovable assets, an essential complement to trust and corporate structures for residents and non-residents holding Indian property.</t>
  </si>
  <si>
    <t>1-2 weeks (drafting and execution)</t>
  </si>
  <si>
    <t>Periodic review on life events; safe custody; probate obtained by executors upon demise</t>
  </si>
  <si>
    <t>NRIs holding Indian real estate or investments</t>
  </si>
  <si>
    <t>Resident families planning intergenerational transfer</t>
  </si>
  <si>
    <t>Business owners covering shareholdings</t>
  </si>
  <si>
    <t>Individuals coordinating multi-jurisdiction estates</t>
  </si>
  <si>
    <t>Legal certainty over distribution of Indian assets</t>
  </si>
  <si>
    <t>Avoids intestate succession disputes among heirs</t>
  </si>
  <si>
    <t>Executor appointment for professional administration</t>
  </si>
  <si>
    <t>Coordinates with foreign wills and trusts</t>
  </si>
  <si>
    <t>Testamentary instrument</t>
  </si>
  <si>
    <t>Indian Succession Act 1925
(probate via High Court where applicable)</t>
  </si>
  <si>
    <t>Succession planning for Indian assets of resident and non-resident individuals</t>
  </si>
  <si>
    <t>Probate required in presidency towns; forced-heirship-type constraints for certain communities; stamp/registration formalities</t>
  </si>
  <si>
    <t>INR On actuals</t>
  </si>
  <si>
    <t>India#Trust#India Will</t>
  </si>
  <si>
    <t xml:space="preserve">   IRELAND</t>
  </si>
  <si>
    <t>Ireland</t>
  </si>
  <si>
    <t>William Smit</t>
  </si>
  <si>
    <t>Ireland Ltd</t>
  </si>
  <si>
    <t>The Ireland Ltd is a entity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</si>
  <si>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Established Ireland legal framework familiar to investors, banks, and counterparties</t>
  </si>
  <si>
    <t>Holding investments into and out of Ireland</t>
  </si>
  <si>
    <t>CRO (Companies Registration Office)
Companies Act 2014</t>
  </si>
  <si>
    <t>EU holding or IP company leveraging Ireland's 12.5% trading rate and tax treaty network</t>
  </si>
  <si>
    <t>Pillar Two 15% minimum applies to groups with revenue &gt;EUR 750m; substance requirements</t>
  </si>
  <si>
    <t>Provision of ROI office as a business address: EUR 600/hr
Rental of an office (per month): EUR 1,800/hr
Rental of a desk (per month): EUR 550/hr</t>
  </si>
  <si>
    <t>Ireland#Company#Ireland Ltd</t>
  </si>
  <si>
    <t xml:space="preserve">   KAZAKHSTAN</t>
  </si>
  <si>
    <t>Kazakhstan</t>
  </si>
  <si>
    <t xml:space="preserve">Sergio Gironella </t>
  </si>
  <si>
    <t>Kazakhstan Ltd</t>
  </si>
  <si>
    <t>The Kazakhstan Ltd is a fund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</si>
  <si>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6-8 weeks</t>
  </si>
  <si>
    <t>Established Kazakhstan legal framework familiar to investors, banks, and counterparties</t>
  </si>
  <si>
    <t>Civil Law (AIFC Common Law)</t>
  </si>
  <si>
    <t>AFSA (Astana Financial Services Authority)
AIFC Companies Regulations; On Investment Funds Act</t>
  </si>
  <si>
    <t>Yes (AFSA register)</t>
  </si>
  <si>
    <t>Private fund in AIFC for Kazakhstan and Central Asian investments</t>
  </si>
  <si>
    <t>AFSA regulatory requirements; limited market liquidity; FX convertibility risk</t>
  </si>
  <si>
    <t>Kazakhstan#Fund#Kazakhstan Ltd</t>
  </si>
  <si>
    <t>Kazakhstan PLC</t>
  </si>
  <si>
    <t>Public Limited Company structured for investment fund purposes.</t>
  </si>
  <si>
    <t>The Kazakhstan PLC is a fund structure regulated under local law and widely used by international clients of Amicorp. Public Limited Company structured for investment fund purposes. Our local team manages incorporation, ongoing administration, accounting, and compliance so you can focus on commercial objectives instead of paperwork.</t>
  </si>
  <si>
    <t>AFSA
AIFC Companies Regulations</t>
  </si>
  <si>
    <t>Listed investment company on AIX (Astana International Exchange)</t>
  </si>
  <si>
    <t>Emerging market risk; limited secondary market liquidity on AIX</t>
  </si>
  <si>
    <t>Kazakhstan#Fund#Kazakhstan PLC</t>
  </si>
  <si>
    <t>Kazakhstan LP</t>
  </si>
  <si>
    <t>The Kazakhstan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</si>
  <si>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Common Law (AIFC)</t>
  </si>
  <si>
    <t>AFSA
AIFC Limited Partnerships Regulations</t>
  </si>
  <si>
    <t>PE/VC fund in AIFC targeting Kazakhstan and Central Asian opportunities</t>
  </si>
  <si>
    <t>Emerging market operational risk; GP unlimited liability; FX controls</t>
  </si>
  <si>
    <t>Kazakhstan#Fund#Kazakhstan LP</t>
  </si>
  <si>
    <t>Kazakhstan PCC</t>
  </si>
  <si>
    <t>The Kazakhstan PCC is a fund structure regulated under local law and widely used by international clients of Amicorp. Protected Cell Company with statutorily segregated cell assets. Our local team manages incorporation, ongoing administration, accounting, and compliance so you can focus on commercial objectives instead of paperwork.</t>
  </si>
  <si>
    <t>Multi-class fund structure in AIFC with ring-fenced sub-portfolios</t>
  </si>
  <si>
    <t>AFSA authorisation; emerging market risk; cross-border cell recognition</t>
  </si>
  <si>
    <t>Kazakhstan#Fund#Kazakhstan PCC</t>
  </si>
  <si>
    <t>Kazakhstan ICC</t>
  </si>
  <si>
    <t>The Kazakhstan ICC is a fund structure regulated under local law and widely used by international clients of Amicorp. Incorporated Cell Company where each cell has separate legal personality. Our local team manages incorporation, ongoing administration, accounting, and compliance so you can focus on commercial objectives instead of paperwork.</t>
  </si>
  <si>
    <t>Incorporated cell company for multi-sub-fund structures in Kazakhstan AIFC</t>
  </si>
  <si>
    <t>Complex governance; AFSA compliance; emerging market environment</t>
  </si>
  <si>
    <t>Kazakhstan#Fund#Kazakhstan ICC</t>
  </si>
  <si>
    <t>Kazakhstan Unit Trust</t>
  </si>
  <si>
    <t>The Kazakhstan Unit Trust is a fund structure regulated under local law and widely used by international clients of Amicorp. Pooled investment vehicle where investors hold units representing beneficial interest. Our local team manages incorporation, ongoing administration, accounting, and compliance so you can focus on commercial objectives instead of paperwork.</t>
  </si>
  <si>
    <t>AFSA
AIFC Collective Investment Scheme Regulations</t>
  </si>
  <si>
    <t>Kazakhstan-domiciled unit trust for regional sovereign and institutional investors</t>
  </si>
  <si>
    <t>AFSA licensing; annual audit; limited secondary market</t>
  </si>
  <si>
    <t>Kazakhstan#Fund#Kazakhstan Unit Trust</t>
  </si>
  <si>
    <t xml:space="preserve">   LITHUANIA</t>
  </si>
  <si>
    <t>Lithuania</t>
  </si>
  <si>
    <t>Eugenijus Vilunas</t>
  </si>
  <si>
    <t>Lithuania UAB</t>
  </si>
  <si>
    <t>Lithuanian private limited company (Uždaroji Akcinė Bendrovė) for EU market access.</t>
  </si>
  <si>
    <t>The Lithuania UAB is a entity structure regulated under local law and widely used by international clients of Amicorp. Lithuanian private limited company (Uždaroji Akcinė Bendrovė) for EU market access. Our local team manages incorporation, ongoing administration, accounting, and compliance so you can focus on commercial objectives instead of paperwork.</t>
  </si>
  <si>
    <t>Established Lithuania legal framework familiar to investors, banks, and counterparties</t>
  </si>
  <si>
    <t>Holding investments into and out of Lithuania</t>
  </si>
  <si>
    <t>VMI (State Tax Inspectorate) / RC (Register of Legal Entities)
Law on Companies of the Republic of Lithuania</t>
  </si>
  <si>
    <t>EU subsidiary or fintech company leveraging Lithuania's EMI/PI licensing hub</t>
  </si>
  <si>
    <t>Limited treaty network vs larger EU countries; increasing FATF compliance requirements</t>
  </si>
  <si>
    <t>Lithuania#Company#Lithuania UAB</t>
  </si>
  <si>
    <t xml:space="preserve">   LUXEMBOURG</t>
  </si>
  <si>
    <t>Luxembourg</t>
  </si>
  <si>
    <t>Eric-Jan van de Laar</t>
  </si>
  <si>
    <t>Luxembourg SA</t>
  </si>
  <si>
    <t>The Luxembourg SA is a entity structure regulated under local law and widely used by international clients of Amicorp. Sociedad Anónima — a public limited company structure common in Latin American and European jurisdictions. Our local team manages incorporation, ongoing administration, accounting, and compliance so you can focus on commercial objectives instead of paperwork.</t>
  </si>
  <si>
    <t>Established Luxembourg legal framework familiar to investors, banks, and counterparties</t>
  </si>
  <si>
    <t>Holding investments into and out of Luxembourg</t>
  </si>
  <si>
    <t>RCSL (Trade &amp; Companies Register)
Law of 10 August 1915 on Commercial Companies</t>
  </si>
  <si>
    <t>Luxembourg holding company benefiting from participation exemption and extensive treaty network</t>
  </si>
  <si>
    <t>EU ATAD; substance requirements; ~25% effective CIT; Pillar Two for large groups</t>
  </si>
  <si>
    <t>Corporate secretarial services: EUR 500/hr</t>
  </si>
  <si>
    <t>Luxembourg#Company#Luxembourg SA</t>
  </si>
  <si>
    <t>Luxembourg Sarl</t>
  </si>
  <si>
    <t>Société à responsabilité limitée — Luxembourg private limited company.</t>
  </si>
  <si>
    <t>The Luxembourg Sarl is a entity structure regulated under local law and widely used by international clients of Amicorp. Société à responsabilité limitée — Luxembourg private limited company. Our local team manages incorporation, ongoing administration, accounting, and compliance so you can focus on commercial objectives instead of paperwork.</t>
  </si>
  <si>
    <t>RCSL
Law of 10 August 1915 on Commercial Companies</t>
  </si>
  <si>
    <t>Luxembourg private holding or operational entity for EU-focused investment structures</t>
  </si>
  <si>
    <t>ATAD; substance rules; Pillar Two impact for large groups</t>
  </si>
  <si>
    <t>Luxembourg#Company#Luxembourg Sarl</t>
  </si>
  <si>
    <t>Luxembourg SCA</t>
  </si>
  <si>
    <t>Société en Commandite par Actions — partnership limited by shares.</t>
  </si>
  <si>
    <t>The Luxembourg SCA is a entity structure regulated under local law and widely used by international clients of Amicorp. Société en Commandite par Actions — partnership limited by shares. Our local team manages incorporation, ongoing administration, accounting, and compliance so you can focus on commercial objectives instead of paperwork.</t>
  </si>
  <si>
    <t>Full for commanditaires; unlimited for gérant</t>
  </si>
  <si>
    <t>RCSL
Law of 10 August 1915</t>
  </si>
  <si>
    <t>1 GP (unlimited) + 3 LPs</t>
  </si>
  <si>
    <t>Carried interest and management structure for alternative investment funds in Luxembourg</t>
  </si>
  <si>
    <t>GP unlimited liability; CSSF oversight for AIFM; substance requirements</t>
  </si>
  <si>
    <t>Luxembourg#Company#Luxembourg SCA</t>
  </si>
  <si>
    <t>Luxembourg SCSP</t>
  </si>
  <si>
    <t>Société en Commandite Spéciale — Luxembourg special limited partnership.</t>
  </si>
  <si>
    <t>The Luxembourg SCSP is a entity structure regulated under local law and widely used by international clients of Amicorp. Société en Commandite Spéciale — Luxembourg special limited partnership. Our local team manages incorporation, ongoing administration, accounting, and compliance so you can focus on commercial objectives instead of paperwork.</t>
  </si>
  <si>
    <t>Full for limited partners; unlimited for GP</t>
  </si>
  <si>
    <t>RCSL
Law of 10 August 1915 (as amended 2013)</t>
  </si>
  <si>
    <t>No (private register only)</t>
  </si>
  <si>
    <t>PE/VC fund vehicle or carried interest structure with contractual flexibility</t>
  </si>
  <si>
    <t>GP unlimited liability; substance required for AIFM; Pillar Two may apply</t>
  </si>
  <si>
    <t>Luxembourg#Company#Luxembourg SCSP</t>
  </si>
  <si>
    <t>The Luxembourg SA is a fund structure regulated under local law and widely used by international clients of Amicorp. Sociedad Anónima — a public limited company structure common in Latin American and European jurisdictions. Our local team manages incorporation, ongoing administration, accounting, and compliance so you can focus on commercial objectives instead of paperwork.</t>
  </si>
  <si>
    <t>3-6 months</t>
  </si>
  <si>
    <t>CSSF (Commission de Surveillance du Secteur Financier)
Law of 17 December 2010 (UCITS); Law of 12 July 2013 (AIFMD)</t>
  </si>
  <si>
    <t>UCITS or AIF fund vehicle in SA form for institutional or retail investors</t>
  </si>
  <si>
    <t>CSSF compliance costs; substance requirements; expensive vs offshore alternatives</t>
  </si>
  <si>
    <t>Luxembourg#Fund#Luxembourg SA</t>
  </si>
  <si>
    <t>The Luxembourg SCA is a fund structure regulated under local law and widely used by international clients of Amicorp. Société en Commandite par Actions — partnership limited by shares. Our local team manages incorporation, ongoing administration, accounting, and compliance so you can focus on commercial objectives instead of paperwork.</t>
  </si>
  <si>
    <t>CSSF
Law of 12 July 2013 (AIFMD); SIF/RAIF laws</t>
  </si>
  <si>
    <t>1 GP + 3 LPs (minimum)</t>
  </si>
  <si>
    <t>PE/VC fund in Luxembourg for European institutional investors</t>
  </si>
  <si>
    <t>GP unlimited liability; CSSF AIFM authorisation; Lux substance requirements</t>
  </si>
  <si>
    <t>Luxembourg#Fund#Luxembourg SCA</t>
  </si>
  <si>
    <t>The Luxembourg Sarl is a fund structure regulated under local law and widely used by international clients of Amicorp. Société à responsabilité limitée — Luxembourg private limited company. Our local team manages incorporation, ongoing administration, accounting, and compliance so you can focus on commercial objectives instead of paperwork.</t>
  </si>
  <si>
    <t>CSSF
Law of 12 July 2013; SIF Law</t>
  </si>
  <si>
    <t>Closed-end AIF structured as Sarl for smaller or bespoke fund structures</t>
  </si>
  <si>
    <t>CSSF licensing; substance; Pillar Two for large fund groups</t>
  </si>
  <si>
    <t>Luxembourg#Fund#Luxembourg Sarl</t>
  </si>
  <si>
    <t>Luxembourg SCoSA</t>
  </si>
  <si>
    <t>Luxembourg Société en Commandite Simple par Actions.</t>
  </si>
  <si>
    <t>The Luxembourg SCoSA is a fund structure regulated under local law and widely used by international clients of Amicorp. Luxembourg Société en Commandite Simple par Actions. Our local team manages incorporation, ongoing administration, accounting, and compliance so you can focus on commercial objectives instead of paperwork.</t>
  </si>
  <si>
    <t>Full for commanditaires; unlimited for GP</t>
  </si>
  <si>
    <t>CSSF
Law of 10 August 1915</t>
  </si>
  <si>
    <t>Hybrid fund structure combining features of SCA and SCS for PE co-investments</t>
  </si>
  <si>
    <t>GP unlimited liability; niche vehicle; CSSF oversight</t>
  </si>
  <si>
    <t>Luxembourg#Fund#Luxembourg SCoSA</t>
  </si>
  <si>
    <t>Luxembourg SCS</t>
  </si>
  <si>
    <t>Luxembourg Société en Commandite Simple — common limited partnership.</t>
  </si>
  <si>
    <t>The Luxembourg SCS is a fund structure regulated under local law and widely used by international clients of Amicorp. Luxembourg Société en Commandite Simple — common limited partnership. Our local team manages incorporation, ongoing administration, accounting, and compliance so you can focus on commercial objectives instead of paperwork.</t>
  </si>
  <si>
    <t>RCSL / CSSF
Law of 10 August 1915</t>
  </si>
  <si>
    <t>Tax-transparent fund for non-EU investors or feeder fund into main Luxembourg fund</t>
  </si>
  <si>
    <t>GP unlimited liability; CSSF registration</t>
  </si>
  <si>
    <t>Luxembourg#Fund#Luxembourg SCS</t>
  </si>
  <si>
    <t>Luxembourg SCSp</t>
  </si>
  <si>
    <t>Luxembourg Société en Commandite Spéciale — special limited partnership for funds.</t>
  </si>
  <si>
    <t>The Luxembourg SCSp is a fund structure regulated under local law and widely used by international clients of Amicorp. Luxembourg Société en Commandite Spéciale — special limited partnership for funds. Our local team manages incorporation, ongoing administration, accounting, and compliance so you can focus on commercial objectives instead of paperwork.</t>
  </si>
  <si>
    <t>RCSL / CSSF
Law of 10 August 1915 (Chapter VI bis)</t>
  </si>
  <si>
    <t>No (LP names private)</t>
  </si>
  <si>
    <t>Luxembourg's most popular PE/VC fund vehicle; equivalent to Cayman ELP for European managers</t>
  </si>
  <si>
    <t>GP unlimited liability; substance; CSSF AIFM authorisation</t>
  </si>
  <si>
    <t>Luxembourg#Fund#Luxembourg SCSp</t>
  </si>
  <si>
    <t>Luxembourg FCP</t>
  </si>
  <si>
    <t>Luxembourg Fonds Commun de Placement — contractual fund without legal personality.</t>
  </si>
  <si>
    <t>The Luxembourg FCP is a fund structure regulated under local law and widely used by international clients of Amicorp. Luxembourg Fonds Commun de Placement — contractual fund without legal personality. Our local team manages incorporation, ongoing administration, accounting, and compliance so you can focus on commercial objectives instead of paperwork.</t>
  </si>
  <si>
    <t>Investment Fund (UCITS)</t>
  </si>
  <si>
    <t>CSSF
Law of 17 December 2010 (UCITS); Law of 12 July 2013 (AIFMD)</t>
  </si>
  <si>
    <t>1 management company + investors</t>
  </si>
  <si>
    <t>UCITS or AIF contractual fund without separate legal personality; widely used for retail distribution</t>
  </si>
  <si>
    <t>Management company required; CSSF compliance; distribution restrictions by country</t>
  </si>
  <si>
    <t>Luxembourg#Fund#Luxembourg FCP</t>
  </si>
  <si>
    <t>Luxembourg RAIF</t>
  </si>
  <si>
    <t>Reserved Alternative Investment Fund — unregulated multi-compartment AIF managed by an authorised AIFM, launched without prior CSSF product approval.</t>
  </si>
  <si>
    <t>The Luxembourg RAIF is a fund structure regulated under local law and widely used by international clients of Amicorp. Reserved Alternative Investment Fund — unregulated multi-compartment AIF managed by an authorised AIFM, launched without prior CSSF product approval</t>
  </si>
  <si>
    <t>Annual audited financials, AIFMD reporting via the AIFM, AML/KYC monitoring, and investor reporting</t>
  </si>
  <si>
    <t>No CSSF product approval — fast time-to-market</t>
  </si>
  <si>
    <t>Umbrella structure with segregated compartments</t>
  </si>
  <si>
    <t>Flexible legal form (SCSp, SCA, SA, Sarl or FCP)</t>
  </si>
  <si>
    <t>EU-wide AIFMD marketing passport via the AIFM</t>
  </si>
  <si>
    <t>Form-dependent (full for shareholders; LPs limited, GP unlimited in SCSp form)</t>
  </si>
  <si>
    <t>RCSL (RAIF list); indirect supervision via authorised AIFM
RAIF Law of 23 July 2016</t>
  </si>
  <si>
    <t>Yes (RCSL RAIF list)</t>
  </si>
  <si>
    <t>1 (well-informed investors only)</t>
  </si>
  <si>
    <t>Luxembourg's fastest alternative fund wrapper for PE, real estate, private debt and hedge strategies with umbrella compartments</t>
  </si>
  <si>
    <t>Must appoint authorised external AIFM; reserved to well-informed investors (EUR 100k minimum); EUR 1.25m NAV within 24 months; 0.01% annual subscription tax</t>
  </si>
  <si>
    <t> </t>
  </si>
  <si>
    <t>Luxembourg#Fund#Luxembourg RAIF</t>
  </si>
  <si>
    <t xml:space="preserve">   MALTA</t>
  </si>
  <si>
    <t>Malta</t>
  </si>
  <si>
    <t>Colin Gregory</t>
  </si>
  <si>
    <t>Malta Ltd</t>
  </si>
  <si>
    <t>The Malta Ltd is a entity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</si>
  <si>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Established Malta legal framework familiar to investors, banks, and counterparties</t>
  </si>
  <si>
    <t>Holding investments into and out of Malta</t>
  </si>
  <si>
    <t>Civil Law / Common Law hybrid</t>
  </si>
  <si>
    <t>MBR (Malta Business Registry)
Companies Act (Cap. 386)</t>
  </si>
  <si>
    <t>EU holding company leveraging Malta's imputation refund to achieve ~5% effective CIT</t>
  </si>
  <si>
    <t>EU ATAD; OECD substance rules; Pillar Two for large groups; FATF monitoring</t>
  </si>
  <si>
    <t>Depends on issued share capital</t>
  </si>
  <si>
    <t>Malta#Company#Malta Ltd</t>
  </si>
  <si>
    <t>Malta Trust</t>
  </si>
  <si>
    <t>The Malta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</si>
  <si>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MFSA (Malta Financial Services Authority)
Trusts and Trustees Act (Cap. 331)</t>
  </si>
  <si>
    <t>International trust for EU clients combining civil law familiarity with common law trust flexibility</t>
  </si>
  <si>
    <t>CRS reporting; MFSA-licensed trustee required; substance requirements</t>
  </si>
  <si>
    <t>Malta#Trust#Malta Trust</t>
  </si>
  <si>
    <t>Massimo Talia</t>
  </si>
  <si>
    <t>Malta SICAV</t>
  </si>
  <si>
    <t>Société d'Investissement à Capital Variable — open-ended variable capital fund.</t>
  </si>
  <si>
    <t>The Malta SICAV is a fund structure regulated under local law and widely used by international clients of Amicorp. Société d'Investissement à Capital Variable — open-ended variable capital fund. Our local team manages incorporation, ongoing administration, accounting, and compliance so you can focus on commercial objectives instead of paperwork.</t>
  </si>
  <si>
    <t>MFSA
Investment Services Act (Cap. 370); UCITS Directive</t>
  </si>
  <si>
    <t>UCITS fund for retail European investors or AIFMD-compliant AIF for institutional investors</t>
  </si>
  <si>
    <t>Smaller regulator than CSSF/CBI; MFSA capacity concerns; Pillar Two impact</t>
  </si>
  <si>
    <t>Malta#Fund#Malta SICAV</t>
  </si>
  <si>
    <t>Malta INVCO</t>
  </si>
  <si>
    <t>Malta Investment Company for licensed collective investment schemes.</t>
  </si>
  <si>
    <t>The Malta INVCO is a fund structure regulated under local law and widely used by international clients of Amicorp. Malta Investment Company for licensed collective investment schemes. Our local team manages incorporation, ongoing administration, accounting, and compliance so you can focus on commercial objectives instead of paperwork.</t>
  </si>
  <si>
    <t>MFSA
Investment Services Act (Cap. 370)</t>
  </si>
  <si>
    <t>Non-EU licensed investment company or family office vehicle in Malta</t>
  </si>
  <si>
    <t>MFSA licensing; substance requirements; anti-abuse provisions</t>
  </si>
  <si>
    <t>Malta#Fund#Malta INVCO</t>
  </si>
  <si>
    <t>Malta LP</t>
  </si>
  <si>
    <t>The Malta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</si>
  <si>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MFSA
Investment Services Act; Commercial Partnerships Ordinance</t>
  </si>
  <si>
    <t>EU AIF structured as LP for PE or real estate strategies</t>
  </si>
  <si>
    <t>GP unlimited liability; MFSA oversight; smaller ecosystem than Lux</t>
  </si>
  <si>
    <t>Malta#Fund#Malta LP</t>
  </si>
  <si>
    <t>Malta Unit Trust</t>
  </si>
  <si>
    <t>The Malta Unit Trust is a fund structure regulated under local law and widely used by international clients of Amicorp. Pooled investment vehicle where investors hold units representing beneficial interest. Our local team manages incorporation, ongoing administration, accounting, and compliance so you can focus on commercial objectives instead of paperwork.</t>
  </si>
  <si>
    <t>EU-domiciled unit trust for institutional investors; UCITS eligible</t>
  </si>
  <si>
    <t>Licensed trustee required; UCITS compliance; MFSA supervision</t>
  </si>
  <si>
    <t>Malta#Fund#Malta Unit Trust</t>
  </si>
  <si>
    <t>Malta CF</t>
  </si>
  <si>
    <t>The Malta CF is a fund structure regulated under local law and widely used by international clients of Amicorp. Common Fund — contractual fund structure without separate legal personality. Our local team manages incorporation, ongoing administration, accounting, and compliance so you can focus on commercial objectives instead of paperwork.</t>
  </si>
  <si>
    <t>Contractual fund without separate legal personality for retail EU distribution</t>
  </si>
  <si>
    <t>Management company required; MFSA compliance; distribution restrictions</t>
  </si>
  <si>
    <t>Malta#Fund#Malta CF</t>
  </si>
  <si>
    <t>Malta ICC</t>
  </si>
  <si>
    <t>The Malta ICC is a fund structure regulated under local law and widely used by international clients of Amicorp. Incorporated Cell Company where each cell has separate legal personality. Our local team manages incorporation, ongoing administration, accounting, and compliance so you can focus on commercial objectives instead of paperwork.</t>
  </si>
  <si>
    <t>MFSA
Investment Services Act; Incorporated Cell Companies Regulations</t>
  </si>
  <si>
    <t>Multi-sub-fund structure where each cell has independent legal personality</t>
  </si>
  <si>
    <t>Complex governance; MFSA authorisation; annual audit per cell</t>
  </si>
  <si>
    <t>Malta#Fund#Malta ICC</t>
  </si>
  <si>
    <t>Malta RICC</t>
  </si>
  <si>
    <t>Recognised Incorporated Cell Company under Malta financial regulations.</t>
  </si>
  <si>
    <t>The Malta RICC is a fund structure regulated under local law and widely used by international clients of Amicorp. Recognised Incorporated Cell Company under Malta financial regulations. Our local team manages incorporation, ongoing administration, accounting, and compliance so you can focus on commercial objectives instead of paperwork.</t>
  </si>
  <si>
    <t>Full (statutory cell recognition)</t>
  </si>
  <si>
    <t>MFSA
Investment Services Act; RICC Regulations</t>
  </si>
  <si>
    <t>Recognised incorporated cell within a Maltese ICC framework; branch-like cell structure</t>
  </si>
  <si>
    <t>Dependent on parent ICC governance; MFSA compliance; cross-border recognition</t>
  </si>
  <si>
    <t>Malta#Fund#Malta RICC</t>
  </si>
  <si>
    <t xml:space="preserve">   MAURITIUS</t>
  </si>
  <si>
    <t>Mauritius</t>
  </si>
  <si>
    <t>Shakill Toorabally</t>
  </si>
  <si>
    <t>Mauritius GBLC</t>
  </si>
  <si>
    <t>Mauritius Global Business Licence Company for international structuring with tax treaty access.</t>
  </si>
  <si>
    <t>The Mauritius GBLC is a entity structure regulated under local law and widely used by international clients of Amicorp. Mauritius Global Business Licence Company for international structuring with tax treaty access. Our local team manages incorporation, ongoing administration, accounting, and compliance so you can focus on commercial objectives instead of paperwork.</t>
  </si>
  <si>
    <t>Established Mauritius legal framework familiar to investors, banks, and counterparties</t>
  </si>
  <si>
    <t>Holding investments into and out of Mauritius</t>
  </si>
  <si>
    <t>Common Law (hybrid civil)</t>
  </si>
  <si>
    <t>FSC Mauritius
Companies Act 2001; Financial Services Act 2007</t>
  </si>
  <si>
    <t>Yes (FSC register)</t>
  </si>
  <si>
    <t>Holding company for Indian investments leveraging India-Mauritius DTAA</t>
  </si>
  <si>
    <t>OECD/FATF grey-list monitoring; India DTAA amendments (2016) limiting historical benefits; substance required</t>
  </si>
  <si>
    <t>Mauritius#Company#Mauritius GBLC</t>
  </si>
  <si>
    <t>Mauritius Authorised company</t>
  </si>
  <si>
    <t>Mauritius authorised company for specific international business activities.</t>
  </si>
  <si>
    <t>The Mauritius Authorised company is a entity structure regulated under local law and widely used by international clients of Amicorp. Mauritius authorised company for specific international business activities. Our local team manages incorporation, ongoing administration, accounting, and compliance so you can focus on commercial objectives instead of paperwork.</t>
  </si>
  <si>
    <t>Offshore holding company for Africa-focused investments with no Mauritius tax treaty benefit required</t>
  </si>
  <si>
    <t>Cannot access DTA network; cannot conduct business in Mauritius</t>
  </si>
  <si>
    <t>Mauritius#Company#Mauritius Authorised company</t>
  </si>
  <si>
    <t>Mauritius Domestic</t>
  </si>
  <si>
    <t>The Mauritius Domestic is a entity structure regulated under local law and widely used by international clients of Amicorp. Domestic company incorporated under local laws for onshore business operations. Our local team manages incorporation, ongoing administration, accounting, and compliance so you can focus on commercial objectives instead of paperwork.</t>
  </si>
  <si>
    <t>Registrar of Companies Mauritius / MRA
Companies Act 2001</t>
  </si>
  <si>
    <t>Domestic operating company for Mauritius market or financial services</t>
  </si>
  <si>
    <t>Limited domestic market size; OECD compliance requirements</t>
  </si>
  <si>
    <t>Mauritius#Company#Mauritius Domestic</t>
  </si>
  <si>
    <t>Mauritius Trust</t>
  </si>
  <si>
    <t>The Mauritius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</si>
  <si>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FSC Mauritius
Trusts Act 2001</t>
  </si>
  <si>
    <t>International trust for African HNW families benefiting from Mauritius treaty network</t>
  </si>
  <si>
    <t>CRS reporting; licensed trustee required; FATF scrutiny</t>
  </si>
  <si>
    <t>Mauritius#Trust#Mauritius Trust</t>
  </si>
  <si>
    <t>Mauritius Ltd</t>
  </si>
  <si>
    <t>The Mauritius Ltd is a fund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</si>
  <si>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FSC Mauritius
Securities Act 2005; Companies Act 2001</t>
  </si>
  <si>
    <t>Africa or India-focused investment fund using Mauritius as platform jurisdiction</t>
  </si>
  <si>
    <t>OECD substance requirements; FATF monitoring; India DTAA limitation post-2016</t>
  </si>
  <si>
    <t>Mauritius#Fund#Mauritius Ltd</t>
  </si>
  <si>
    <t>Mauritius PCC</t>
  </si>
  <si>
    <t>The Mauritius PCC is a fund structure regulated under local law and widely used by international clients of Amicorp. Protected Cell Company with statutorily segregated cell assets. Our local team manages incorporation, ongoing administration, accounting, and compliance so you can focus on commercial objectives instead of paperwork.</t>
  </si>
  <si>
    <t>FSC Mauritius
Protected Cell Companies Act 1999</t>
  </si>
  <si>
    <t>Multi-class fund with ring-fenced portfolios; insurance captive in Mauritius</t>
  </si>
  <si>
    <t>Cross-border cell recognition; FATF monitoring; substance requirements</t>
  </si>
  <si>
    <t>Mauritius#Fund#Mauritius PCC</t>
  </si>
  <si>
    <t>Mauritius LP</t>
  </si>
  <si>
    <t>The Mauritius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</si>
  <si>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FSC Mauritius
Limited Partnerships Act 2011; Securities Act 2005</t>
  </si>
  <si>
    <t>PE/VC fund for Africa-focused investments using Mauritius LP structure</t>
  </si>
  <si>
    <t>GP unlimited liability; FSC licensing; FATF compliance</t>
  </si>
  <si>
    <t>Mauritius#Fund#Mauritius LP</t>
  </si>
  <si>
    <t>Mauritius VCC</t>
  </si>
  <si>
    <t>Variable Capital Company enabling umbrella fund structures with sub-funds.</t>
  </si>
  <si>
    <t>The Mauritius VCC is a fund structure regulated under local law and widely used by international clients of Amicorp. Variable Capital Company enabling umbrella fund structures with sub-funds. Our local team manages incorporation, ongoing administration, accounting, and compliance so you can focus on commercial objectives instead of paperwork.</t>
  </si>
  <si>
    <t>FSC Mauritius
Variable Capital Companies Act 2022</t>
  </si>
  <si>
    <t>Umbrella fund with sub-funds in Mauritius VCC structure (similar to Singapore VCC)</t>
  </si>
  <si>
    <t>New vehicle (2022); limited precedent; FSC authorisation required</t>
  </si>
  <si>
    <t>4000 (4bps)</t>
  </si>
  <si>
    <t>Mauritius#Fund#Mauritius VCC</t>
  </si>
  <si>
    <t>Mauritius VCC (Existing) — Sub-Fund Compartment</t>
  </si>
  <si>
    <t>Activation of a new sub-fund within an existing Mauritius VCC umbrella — a fast-track route to a ring-fenced investment compartment without establishing a new fund.</t>
  </si>
  <si>
    <t>The Mauritius VCC (Existing) Sub-Fund Compartment activates a new sub-fund within an already-authorised Mauritius Variable Capital Company, rather than establishing a new fund from scratch. The umbrella VCC already has its FSC authorisation, registered office, directors, auditor, and administrator in place, so launching a new sub-fund requires only a sub-fund supplement filing — making it significantly faster and more cost-effective than a full fund formation. Each sub-fund is legally ring-fenced from the others, with its own investment objective, investor base, and NAV. Our local team manages the sub-fund activation, documentation, and ongoing compliance so you can focus on deploying capital.</t>
  </si>
  <si>
    <t>Sub-fund supplement filing and ongoing compliance within the existing VCC umbrella framework</t>
  </si>
  <si>
    <t>Leverages existing Mauritius VCC infrastructure — no new entity incorporation required</t>
  </si>
  <si>
    <t>Rapid deployment: umbrella FSC authorisation, registered office, auditor, and administrator already in place</t>
  </si>
  <si>
    <t>Ring-fenced sub-fund with independent NAV, investment strategy, and investor register</t>
  </si>
  <si>
    <t>Cost-effective: substantially lower setup fees versus a standalone new fund</t>
  </si>
  <si>
    <t>Asset managers seeking a fast-track sub-fund launch within an existing Mauritius VCC</t>
  </si>
  <si>
    <t>PE/VC and real asset managers ring-fencing a new strategy or investor group within an established structure</t>
  </si>
  <si>
    <t>Family offices and multi-strategy managers adding a new compartment to an existing VCC</t>
  </si>
  <si>
    <t>Managers looking to segregate a single deal or investment into its own legally ring-fenced vehicle</t>
  </si>
  <si>
    <t>Ring-fenced assets and liabilities — sub-fund creditors cannot reach other sub-funds</t>
  </si>
  <si>
    <t>Rapid activation within an established, authorised Mauritius VCC umbrella</t>
  </si>
  <si>
    <t>Independent NAV calculation and investor reporting per sub-fund</t>
  </si>
  <si>
    <t>Full flexibility on investment strategy, currency, and fee structure per compartment</t>
  </si>
  <si>
    <t>New sub-fund compartment within an existing Mauritius VCC umbrella, with its own investment strategy, investors, and NAV</t>
  </si>
  <si>
    <t>Sub-fund must operate within the scope of the umbrella VCC; sub-fund supplement subject to FSC review</t>
  </si>
  <si>
    <t>Mauritius#Fund - compartment#Mauritius VCC (Existing) — Sub-Fund Compartment</t>
  </si>
  <si>
    <t>Mauritius Foundation</t>
  </si>
  <si>
    <t>Mauritius Foundation combining civil-law foundation features with a common-law environment for wealth planning</t>
  </si>
  <si>
    <t>The Mauritius Foundation is established under the Foundations Act 2012, registered with the FSC-supervised Registrar, and holds assets for beneficiaries or purposes under its charter — a flexible vehicle for succession planning, philanthropy, and holding within the Mauritius IFC.</t>
  </si>
  <si>
    <t>2-3 weeks</t>
  </si>
  <si>
    <t>Annual registered agent and office maintenance, accounting records, FSC/ROC filings, and FATCA/CRS classification</t>
  </si>
  <si>
    <t>African and Asian families structuring succession</t>
  </si>
  <si>
    <t>Philanthropic and charitable purposes</t>
  </si>
  <si>
    <t>Holding shares of Mauritius GBCs and foreign assets</t>
  </si>
  <si>
    <t>Founders seeking alternatives to trusts</t>
  </si>
  <si>
    <t>Distinct legal personality — unlike a trust</t>
  </si>
  <si>
    <t>Founder may reserve powers and be a beneficiary</t>
  </si>
  <si>
    <t>Tax resident option accessing Mauritius treaty network</t>
  </si>
  <si>
    <t>Migration and continuation provisions available</t>
  </si>
  <si>
    <t>Hybrid (Civil/Common Law)</t>
  </si>
  <si>
    <t>Registrar of Foundations / FSC Mauritius
Foundations Act 2012</t>
  </si>
  <si>
    <t>Yes (charter details private)</t>
  </si>
  <si>
    <t>None (council min. 1 + secretary)</t>
  </si>
  <si>
    <t>Succession and philanthropy vehicle anchoring family assets in the Mauritius IFC</t>
  </si>
  <si>
    <t>Annual compliance with registered agent obligatory; substance considerations for treaty benefits</t>
  </si>
  <si>
    <t>administrative/accounting services: USD 150/hr
corporate secretarial and legal services: USD 145-400/hr
trust lawyer, director, or equivalent: USD 1,200/hr</t>
  </si>
  <si>
    <t>Mauritius#Foundation#Mauritius Foundation</t>
  </si>
  <si>
    <t xml:space="preserve">   MEXICO</t>
  </si>
  <si>
    <t>Mexico</t>
  </si>
  <si>
    <t>Erick Flores Anguiano</t>
  </si>
  <si>
    <t>Mexico SA</t>
  </si>
  <si>
    <t>The Mexico SA is a entity structure regulated under local law and widely used by international clients of Amicorp. Sociedad Anónima — a public limited company structure common in Latin American and European jurisdictions. Our local team manages incorporation, ongoing administration, accounting, and compliance so you can focus on commercial objectives instead of paperwork.</t>
  </si>
  <si>
    <t>3-4 weeks</t>
  </si>
  <si>
    <t>Established Mexico legal framework familiar to investors, banks, and counterparties</t>
  </si>
  <si>
    <t>Holding investments into and out of Mexico</t>
  </si>
  <si>
    <t xml:space="preserve">Serve as a Holding </t>
  </si>
  <si>
    <t>SAT / RNIE / SE
General Law of Commercial Companies (LGSM)</t>
  </si>
  <si>
    <t>Mexico operating company for foreign investors entering the Mexican market</t>
  </si>
  <si>
    <t>CIT 30%; complex fiscal regulations (BEPS/CbCR); transfer pricing documentation</t>
  </si>
  <si>
    <t>Yes ✓</t>
  </si>
  <si>
    <t>Mexico#Company#Mexico SA</t>
  </si>
  <si>
    <t>Mexico Fideicomiso de Garantía</t>
  </si>
  <si>
    <t>The Mexico Fideicomiso de Garantía is a trust structure regulated under local law and widely used by international clients of Amicorp. Guarantee trust (fideicomiso) commonly used in Latin American jurisdictions. Our local team manages incorporation, ongoing administration, accounting, and compliance so you can focus on commercial objectives instead of paperwork.</t>
  </si>
  <si>
    <t>Guarantee collateral execution</t>
  </si>
  <si>
    <t>Asset Protection/Collateral Execution Vehicle</t>
  </si>
  <si>
    <t>CNBV / Banco de México
Ley General de Títulos y Operaciones de Crédito Art. 381+</t>
  </si>
  <si>
    <t>1 fideicomitente + 1 fiduciario</t>
  </si>
  <si>
    <t>Securing loans or commercial obligations in real estate or infrastructure financing in Mexico</t>
  </si>
  <si>
    <t>Fiduciario must be a licensed Mexican credit institution; complex registration</t>
  </si>
  <si>
    <t>Mexico#Trust#Mexico Fideicomiso de Garantía</t>
  </si>
  <si>
    <t>Escrow</t>
  </si>
  <si>
    <t>Escrow Account</t>
  </si>
  <si>
    <t xml:space="preserve">Escrow Services </t>
  </si>
  <si>
    <t>Act as depositary of funds and shares to secure a transaction</t>
  </si>
  <si>
    <t>5-7 days</t>
  </si>
  <si>
    <t xml:space="preserve"> AML/KYC monitoring</t>
  </si>
  <si>
    <t>Secure third party holding the deposit of shares and funds for transactions and potential contingencies</t>
  </si>
  <si>
    <t xml:space="preserve">Used in Real Estate and M&amp;A Transactions </t>
  </si>
  <si>
    <t>Fast execution</t>
  </si>
  <si>
    <t>Investment Bankers and Companies involved in M&amp;A Transactions}</t>
  </si>
  <si>
    <t>Real Estate Developers</t>
  </si>
  <si>
    <t>Global Transactions</t>
  </si>
  <si>
    <t>Fast Execution</t>
  </si>
  <si>
    <t>Mexican structure to secure funds</t>
  </si>
  <si>
    <t>Mandate</t>
  </si>
  <si>
    <t>10+ investors</t>
  </si>
  <si>
    <t>Mexican transactions</t>
  </si>
  <si>
    <t>Must be a trusted company</t>
  </si>
  <si>
    <t>Mexico#Escrow#Escrow Account</t>
  </si>
  <si>
    <t xml:space="preserve">   NETHERLANDS</t>
  </si>
  <si>
    <t>Netherlands</t>
  </si>
  <si>
    <t>Philip Rutovitz</t>
  </si>
  <si>
    <t>Netherlands BV</t>
  </si>
  <si>
    <t>The Netherlands BV is a entity structure regulated under local law and widely used by international clients of Amicorp. Besloten Vennootschap — Dutch-style private limited company with minimal capital requirements. Our local team manages incorporation, ongoing administration, accounting, and compliance so you can focus on commercial objectives instead of paperwork.</t>
  </si>
  <si>
    <t>Established Netherlands legal framework familiar to investors, banks, and counterparties</t>
  </si>
  <si>
    <t>Holding investments into and out of Netherlands</t>
  </si>
  <si>
    <t>KVK (Chamber of Commerce)
Burgerlijk Wetboek Book 2; Dutch BV Law</t>
  </si>
  <si>
    <t>Yes (KVK Register)</t>
  </si>
  <si>
    <t>EU holding company with Netherlands participation exemption and extensive treaty network</t>
  </si>
  <si>
    <t>ATAD/ATAD2 anti-avoidance; substance requirements; CFC rules; Pillar Two</t>
  </si>
  <si>
    <t>Administrative/Accounting services: EUR 175-315/hr
Corporate secretarial and legal services: EUR 195-485/hr</t>
  </si>
  <si>
    <t>Netherlands#Company#Netherlands BV</t>
  </si>
  <si>
    <t>Netherlands NV</t>
  </si>
  <si>
    <t>The Netherlands NV is a entity structure regulated under local law and widely used by international clients of Amicorp. Naamloze Vennootschap — public limited company suitable for larger enterprises and listings. Our local team manages incorporation, ongoing administration, accounting, and compliance so you can focus on commercial objectives instead of paperwork.</t>
  </si>
  <si>
    <t>KVK / AFM (for listed)
Burgerlijk Wetboek Book 2; NV Law</t>
  </si>
  <si>
    <t>Listed Dutch company or large multinational European holding structure</t>
  </si>
  <si>
    <t>EUR 45,000 minimum capital; mandatory supervisory board for large NV; Pillar Two</t>
  </si>
  <si>
    <t>Netherlands#Company#Netherlands NV</t>
  </si>
  <si>
    <t>Netherlands CV</t>
  </si>
  <si>
    <t>The Netherlands CV is a fund structure regulated under local law and widely used by international clients of Amicorp. Commanditaire Vennootschap — limited partnership under Dutch/Curacao law. Our local team manages incorporation, ongoing administration, accounting, and compliance so you can focus on commercial objectives instead of paperwork.</t>
  </si>
  <si>
    <t>KVK / AFM
Wetboek van Koophandel; Dutch tax law</t>
  </si>
  <si>
    <t>Dutch PE fund structure; closed CV is tax-transparent for US-Dutch fund structures</t>
  </si>
  <si>
    <t>Post-2024 Dutch CV reform reduced tax transparency; AFM licensing</t>
  </si>
  <si>
    <t>Netherlands#Partnership#Netherlands CV</t>
  </si>
  <si>
    <t>Netherlands FGR</t>
  </si>
  <si>
    <t>The Netherlands FGR is a fund structure regulated under local law and widely used by international clients of Amicorp. Fonds voor Gemene Rekening — Dutch/Curacao contractual fund vehicle. Our local team manages incorporation, ongoing administration, accounting, and compliance so you can focus on commercial objectives instead of paperwork.</t>
  </si>
  <si>
    <t>AFM
Wft; FBI regime</t>
  </si>
  <si>
    <t>Dutch contractual mutual fund (similar to Luxembourg FCP); widely used for pension mandates</t>
  </si>
  <si>
    <t>Management company required; AFM oversight; complex tax classification</t>
  </si>
  <si>
    <t>Netherlands#Fund#Netherlands FGR</t>
  </si>
  <si>
    <t>Netherlands Cooperatie UA</t>
  </si>
  <si>
    <t>Dutch Coöperatie U.A. — cooperative structure for fund and holding arrangements.</t>
  </si>
  <si>
    <t>The Netherlands Cooperatie UA is a fund structure regulated under local law and widely used by international clients of Amicorp. Dutch Coöperatie U.A. — cooperative structure for fund and holding arrangements. Our local team manages incorporation, ongoing administration, accounting, and compliance so you can focus on commercial objectives instead of paperwork.</t>
  </si>
  <si>
    <t>Full (UA = unlimited liability waived by articles)</t>
  </si>
  <si>
    <t>KVK / AFM
Burgerlijk Wetboek Book 2; Dutch Cooperative Law</t>
  </si>
  <si>
    <t>Dutch cooperative holding for PE fund structures; popular for carried interest planning</t>
  </si>
  <si>
    <t>EU Anti-hybrid rules; ATAD; PPT (Principal Purpose Test) under MLI; substance required</t>
  </si>
  <si>
    <t>Netherlands#Company#Netherlands Cooperatie UA</t>
  </si>
  <si>
    <t>Netherlands STAK</t>
  </si>
  <si>
    <t>Stichting Administratiekantoor — Dutch foundation holding legal title to shares and issuing depositary receipts, separating voting control from economic ownership.</t>
  </si>
  <si>
    <t>The Netherlands STAK is a foundation structure regulated under local law and widely used by international clients of Amicorp. Stichting Administratiekantoor — Dutch foundation holding legal title to shares and issuing depositary receipts, separating voting control from economic ownership</t>
  </si>
  <si>
    <t>Annual board meeting and minutes, KVK and UBO register updates, depositary receipt holder register maintenance; no statutory audit if non-commercial</t>
  </si>
  <si>
    <t>Family businesses separating control from economic ownership</t>
  </si>
  <si>
    <t>Employee participation plans via depositary receipts</t>
  </si>
  <si>
    <t>Anti-takeover protection and voting control consolidation</t>
  </si>
  <si>
    <t>Succession planning for shareholders of Dutch companies</t>
  </si>
  <si>
    <t>Legal title to shares held by the foundation board</t>
  </si>
  <si>
    <t>Depositary receipt holders retain economic entitlement</t>
  </si>
  <si>
    <t>No shareholders or members — board-controlled entity</t>
  </si>
  <si>
    <t>Flexible administration conditions (administratievoorwaarden)</t>
  </si>
  <si>
    <t>KVK (Chamber of Commerce)
Burgerlijk Wetboek Book 2 (Stichting)</t>
  </si>
  <si>
    <t>N/A (foundation board; no shareholders)</t>
  </si>
  <si>
    <t>Certification of shares (certificering) to split voting control from economic entitlement in Dutch structures</t>
  </si>
  <si>
    <t>Board must act within notarial administration conditions; UBO registration of DR holders/board; generally tax-transparent — income taxed at DR holder level</t>
  </si>
  <si>
    <t>Netherlands#Foundation#Netherlands STAK</t>
  </si>
  <si>
    <t xml:space="preserve">   NEVIS</t>
  </si>
  <si>
    <t>Nevis</t>
  </si>
  <si>
    <t>Nevis IBC</t>
  </si>
  <si>
    <t>Nevis Business Corporation offering strong asset protection and confidentiality in a zero-tax offshore environment</t>
  </si>
  <si>
    <t>The Nevis IBC is incorporated under the Nevis Business Corporation Ordinance and pays no Nevis tax on non-domestic income, with a legal framework noted for robust asset-protection features including short fraudulent-transfer limitation periods and non-recognition of foreign judgments.</t>
  </si>
  <si>
    <t>2-5 business days</t>
  </si>
  <si>
    <t>Annual government licence renewal, registered agent maintenance, accounting records, and CRS/FATCA classification</t>
  </si>
  <si>
    <t>Established Nevis legal framework familiar to investors, banks, and counterparties</t>
  </si>
  <si>
    <t>Asset protection structuring for HNW individuals</t>
  </si>
  <si>
    <t>Holding companies for international investments</t>
  </si>
  <si>
    <t>Confidential ownership of portfolios and IP</t>
  </si>
  <si>
    <t>Complement to Nevis trusts and LLCs</t>
  </si>
  <si>
    <t>No public register of shareholders or directors</t>
  </si>
  <si>
    <t>Creditor must post bond to sue in Nevis courts</t>
  </si>
  <si>
    <t>No Nevis tax on foreign-source income</t>
  </si>
  <si>
    <t>Re-domiciliation into and out of Nevis permitted</t>
  </si>
  <si>
    <t>Nevis Registrar of Companies
Nevis Business Corporation Ordinance 1984 (as amended)</t>
  </si>
  <si>
    <t>Confidential international holding and asset-protection company</t>
  </si>
  <si>
    <t>EU/OECD list monitoring; banking access requires enhanced due diligence; economic substance for certain activities</t>
  </si>
  <si>
    <t>Nevis#Company#Nevis IBC</t>
  </si>
  <si>
    <t xml:space="preserve">   NEW ZEALAND</t>
  </si>
  <si>
    <t>New Zealand</t>
  </si>
  <si>
    <t>Grant Howden</t>
  </si>
  <si>
    <t>New Zealand NZ Ltd as PTC</t>
  </si>
  <si>
    <t>New Zealand private limited company acting as Private Trust Company.</t>
  </si>
  <si>
    <t>The New Zealand NZ Ltd as PTC is a entity structure regulated under local law and widely used by international clients of Amicorp. New Zealand private limited company acting as Private Trust Company. Our local team manages incorporation, ongoing administration, accounting, and compliance so you can focus on commercial objectives instead of paperwork.</t>
  </si>
  <si>
    <t>3-7 business days5-10 business days</t>
  </si>
  <si>
    <t>Established New Zealand legal framework familiar to investors, banks, and counterparties</t>
  </si>
  <si>
    <t>Regulatory standing supporting cross-border investment and capital flows</t>
  </si>
  <si>
    <t>Holding investments into and out outside of New Zealand</t>
  </si>
  <si>
    <t>Private Trust Company</t>
  </si>
  <si>
    <t>Companies Office NZ
Companies Act 1993; Trustee Act 1956Trusts Act 2019</t>
  </si>
  <si>
    <t>Private Trust Company structure for HNW family office; corporate trustee for NZ foreign trusts</t>
  </si>
  <si>
    <t>Disclosure regime post-2016 for foreign trusts; IRD registration required</t>
  </si>
  <si>
    <t>Manager: USD 350405/hr
Other legal and administrative services: USD 150-200250/hr</t>
  </si>
  <si>
    <t>New Zealand#Company#New Zealand NZ Ltd as PTC</t>
  </si>
  <si>
    <t>New Zealand NZ Ltd as GP</t>
  </si>
  <si>
    <t>New Zealand limited company acting as General Partner for fund structuresNew Zealand Limited Partnerships.</t>
  </si>
  <si>
    <t>The New Zealand NZ Ltd as GP is a entity structure regulated under local law and widely used by international clients of Amicorp. New Zealand limited company acting as General Partner for fund structures. Our local team manages incorporation, ongoing administration, accounting, and compliance so you can focus on commercial objectives instead of paperwork.</t>
  </si>
  <si>
    <t>Companies Office NZ
Companies Act 1993; Limited Partnerships Act 2008</t>
  </si>
  <si>
    <t>Corporate general partner for NZ limited partnership fund structures</t>
  </si>
  <si>
    <t>FMC Act compliance for managed investment schemes; IRD reporting</t>
  </si>
  <si>
    <t>New Zealand#Company#New Zealand NZ Ltd as GP</t>
  </si>
  <si>
    <t>New Zealand Foreign Trust</t>
  </si>
  <si>
    <t>New Zealand foreign trust for non-resident settlors with local administration.</t>
  </si>
  <si>
    <t>The New Zealand Foreign Trust is a trust structure regulated under local law and widely used by international clients of Amicorp. New Zealand foreign trust for non-resident settlors with local administration. Our local team manages incorporation, ongoing administration, accounting, and compliance so you can focus on commercial objectives instead of paperwork.</t>
  </si>
  <si>
    <t>5-10 business days2 weeks</t>
  </si>
  <si>
    <t>Annual trustee review, beneficiary statements, foreign trust annual reporting, FATCA/CRS reporting where applicable</t>
  </si>
  <si>
    <t>Possible treaty network and regulatory standing supporting cross-border investment and capital flows</t>
  </si>
  <si>
    <t>IRD (Inland Revenue Department)
Trustee Act 1956Trusts Act 2019; Income Tax Act 2007</t>
  </si>
  <si>
    <t>No (IRD private register)</t>
  </si>
  <si>
    <t>International tax planning trust for non-NZ settlors earning non-NZ-source income</t>
  </si>
  <si>
    <t>Mandatory IRD registration post-2016; annual disclosure requirements; substanceFATCA/CRS reporting where applicable</t>
  </si>
  <si>
    <t>New Zealand#Trust#New Zealand Foreign Trust</t>
  </si>
  <si>
    <t>New Zealand Limited Partnership</t>
  </si>
  <si>
    <t>New Zealand limited partnership for non-resident structures with local administration</t>
  </si>
  <si>
    <t>The New Zealand limited partnership is a structure regulated under local law and widely used by international clients of Amicorp. New Zealand limited partnership for non-resident structures with local administration. Our local team manages incorporation, ongoing administration, accounting, and compliance so you can focus on commercial objectives instead of paperwork.</t>
  </si>
  <si>
    <t>2 weeks</t>
  </si>
  <si>
    <t>Annual return, annual tax filing, FATCA/CRS reprotign where applicable</t>
  </si>
  <si>
    <t>Ideal holding entity when used in conjunction with a New Zealand foreign trust</t>
  </si>
  <si>
    <t>Limited partner details are not publicly available</t>
  </si>
  <si>
    <t>Limited partnership</t>
  </si>
  <si>
    <t>Limited Partnerships Act 2008</t>
  </si>
  <si>
    <t>Yes, but not limited partners</t>
  </si>
  <si>
    <t>International tax planning, generally used with New Zealand foreign trust for non-NZ settlors earning non-NZ-source income</t>
  </si>
  <si>
    <t>New Zealand#Limited Partnership#New Zealand Limited Partnership</t>
  </si>
  <si>
    <t>New Zealand Short Form Simple Trust</t>
  </si>
  <si>
    <t>Simplified New Zealand trust with streamlined documentation.</t>
  </si>
  <si>
    <t>The New Zealand Short Form Simple Trust is a trust structure regulated under local law and widely used by international clients of Amicorp. Simplified New Zealand trust with streamlined documentation. Our local team manages incorporation, ongoing administration, accounting, and compliance so you can focus on commercial objectives instead of paperwork.</t>
  </si>
  <si>
    <t>IRD
Trustee Act 1956</t>
  </si>
  <si>
    <t>Simplified trust deed for straightforward family succession or asset holding</t>
  </si>
  <si>
    <t>IRD registration if foreign trust; annual return obligations</t>
  </si>
  <si>
    <t>New Zealand#Trust#New Zealand Short Form Simple Trust</t>
  </si>
  <si>
    <t>New Zealand Escrow Agent</t>
  </si>
  <si>
    <t>Escrow trust arrangement for secure third-party fund holding.</t>
  </si>
  <si>
    <t>The New Zealand Escrow Agent is a trust structure regulated under local law and widely used by international clients of Amicorp. Escrow trust arrangement for secure third-party fund holding. Our local team manages incorporation, ongoing administration, accounting, and compliance so you can focus on commercial objectives instead of paperwork.</t>
  </si>
  <si>
    <t>Trust (Escrow)</t>
  </si>
  <si>
    <t>Companies Office / FMA
Trustee Act 1956; Anti-Money Laundering and Countering Financing of Terrorism Act 2009</t>
  </si>
  <si>
    <t>Third-party fund holding for commercial transactions; purchase price escrow in M&amp;A</t>
  </si>
  <si>
    <t>AML/CFT obligations; FMA registration if acting as financial service provider</t>
  </si>
  <si>
    <t>New Zealand#Trust#New Zealand Escrow Agent</t>
  </si>
  <si>
    <t>New Zealand Trust</t>
  </si>
  <si>
    <t>The New Zealand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</si>
  <si>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IRD / Companies Office
Trusts Act 2019 (replaced Trustee Act 1956); Income Tax Act 2007</t>
  </si>
  <si>
    <t>Comprehensive NZ discretionary trust for international HNW families seeking OECD-compliant trust</t>
  </si>
  <si>
    <t>Annual disclosure for foreign trusts; beneficiary information rights under 2019 Act</t>
  </si>
  <si>
    <t>New Zealand#Trust#New Zealand Trust</t>
  </si>
  <si>
    <t xml:space="preserve">   PANAMA</t>
  </si>
  <si>
    <t>Panama</t>
  </si>
  <si>
    <t>Panama SA</t>
  </si>
  <si>
    <t>The Panama SA is a entity structure regulated under local law and widely used by international clients of Amicorp. Sociedad Anónima — a public limited company structure common in Latin American and European jurisdictions. Our local team manages incorporation, ongoing administration, accounting, and compliance so you can focus on commercial objectives instead of paperwork.</t>
  </si>
  <si>
    <t>Established Panama legal framework familiar to investors, banks, and counterparties</t>
  </si>
  <si>
    <t>Holding investments into and out of Panama</t>
  </si>
  <si>
    <t>Registro Público de Panamá
Law 32 of 1927 on Corporations</t>
  </si>
  <si>
    <t>3 directors</t>
  </si>
  <si>
    <t>International holding company with territorial tax exemption on foreign income</t>
  </si>
  <si>
    <t>FATF grey-list; Panama Papers reputational risk; OECD transparency requirements</t>
  </si>
  <si>
    <t>Panama#Company#Panama SA</t>
  </si>
  <si>
    <t>Panama Foundation</t>
  </si>
  <si>
    <t>Private Interest Foundation (Fundación de Interés Privado) used for asset protection, estate planning, and holding structures.</t>
  </si>
  <si>
    <t>The Panama Foundation is a foundation structure regulated under local law and widely used by international clients of Amicorp. A Fundación de Interés Privado (FIP) has no shareholders or members — assets are held for the benefit of designated beneficiaries under a foundation charter. It provides a civil law alternative to the common law trust for asset protection and succession planning. Our local team manages incorporation, ongoing administration, accounting, and compliance so you can focus on commercial objectives instead of paperwork.</t>
  </si>
  <si>
    <t>Annual return, foundation council review, FATCA/CRS reporting, and UBO declarations where required</t>
  </si>
  <si>
    <t>Holding shares of a private company or family business</t>
  </si>
  <si>
    <t>Asset protection — no shareholders; assets legally segregated from founder</t>
  </si>
  <si>
    <t>Civil law alternative to a common law trust</t>
  </si>
  <si>
    <t>Flexible beneficiary designations via foundation charter</t>
  </si>
  <si>
    <t>Territorial tax system — foreign-source income exempt from Panama tax</t>
  </si>
  <si>
    <t>Registro Público de Panamá
Law 25 of 1995 on Private Interest Foundations</t>
  </si>
  <si>
    <t>Foundation Council (min. 3 members, or 1 corporate member)</t>
  </si>
  <si>
    <t>Asset protection and succession planning for HNW families; civil law trust alternative for Latin American and European clients</t>
  </si>
  <si>
    <t>FATF grey-list; Panama Papers reputational risk; OECD transparency requirements; forced heirship rules in founder's home country may affect charter</t>
  </si>
  <si>
    <t>Panama#Foundation#Panama Foundation</t>
  </si>
  <si>
    <t xml:space="preserve">   PHILIPPINES</t>
  </si>
  <si>
    <t>Philippines</t>
  </si>
  <si>
    <t>Celabel Golimlim</t>
  </si>
  <si>
    <t>Phillipines Inc</t>
  </si>
  <si>
    <t>Philippine corporation incorporated under the Revised Corporation Code.</t>
  </si>
  <si>
    <t>The Philippines PH_INC is a entity structure regulated under local law and widely used by international clients of Amicorp. Philippine corporation incorporated under the Revised Corporation Code. Our local team manages incorporation, ongoing administration, accounting, and compliance so you can focus on commercial objectives instead of paperwork.</t>
  </si>
  <si>
    <t>- 7 business days for domestic entity
- 8 weeks for 100% foreign entity</t>
  </si>
  <si>
    <t>Monthly/Quarterly/Annual tax returns, Annual financial statements, statutory registers, monthly social securities reports, annual renewal of business permits, all other required compliance reports depending on industry</t>
  </si>
  <si>
    <t>Established Philippines legal framework familiar to investors, banks, and counterparties</t>
  </si>
  <si>
    <t>Holding investments into and out of Philippines</t>
  </si>
  <si>
    <t>Common Law (US-influenced)</t>
  </si>
  <si>
    <t>SEC Philippines
Revised Corporation Code 2019 (RA 11232)</t>
  </si>
  <si>
    <t>1 (OPC) or 2+ (stock corp)</t>
  </si>
  <si>
    <t>Philippine operating subsidiary for BPO, retail, or manufacturing</t>
  </si>
  <si>
    <t>Foreign equity limits (40-60% cap in certain sectors); complex labour law; repatriation controls</t>
  </si>
  <si>
    <t>Depends on business type</t>
  </si>
  <si>
    <t>Inclusive of the tax filing fee</t>
  </si>
  <si>
    <t>USD 80–175/hr</t>
  </si>
  <si>
    <t>Philippines#Company#l</t>
  </si>
  <si>
    <t xml:space="preserve">   PERU</t>
  </si>
  <si>
    <t>Peru</t>
  </si>
  <si>
    <t>Peru Fondo de Inversion</t>
  </si>
  <si>
    <t>Peruvian investment fund for diversified portfolio management.</t>
  </si>
  <si>
    <t>The Peru Fondo de Inversion is a fund structure regulated under local law and widely used by international clients of Amicorp. Peruvian investment fund for diversified portfolio management. Our local team manages incorporation, ongoing administration, accounting, and compliance so you can focus on commercial objectives instead of paperwork.</t>
  </si>
  <si>
    <t>Established Peru legal framework familiar to investors, banks, and counterparties</t>
  </si>
  <si>
    <t>SMV (Superintendencia del Mercado de Valores)
Legislative Decree 862; SMV Resolution 045-2010</t>
  </si>
  <si>
    <t>1 fund manager + investors</t>
  </si>
  <si>
    <t>Peruvian closed-end investment fund for PE, real estate, or infrastructure</t>
  </si>
  <si>
    <t>SMV authorisation; mandatory custodian; annual audit; currency risk</t>
  </si>
  <si>
    <t>Peru#Fund#Peru Fondo de Inversion</t>
  </si>
  <si>
    <t>Peru Fondo Mutuo</t>
  </si>
  <si>
    <t>The Peru Fondo Mutuo is a fund structure regulated under local law and widely used by international clients of Amicorp. Mutual fund vehicle for retail investors with daily liquidity. Our local team manages incorporation, ongoing administration, accounting, and compliance so you can focus on commercial objectives instead of paperwork.</t>
  </si>
  <si>
    <t>SMV
Legislative Decree 861</t>
  </si>
  <si>
    <t>Peruvian open-ended mutual fund for retail investors</t>
  </si>
  <si>
    <t>SMV compliance; local administrator required; currency risk</t>
  </si>
  <si>
    <t>Peru#Fund#Peru Fondo Mutuo</t>
  </si>
  <si>
    <t>Peru Fideicomiso de Inversion</t>
  </si>
  <si>
    <t>Mexican/Peruvian investment trust (fideicomiso) for structured investing.</t>
  </si>
  <si>
    <t>The Peru Fideicomiso de Inversion is a fund structure regulated under local law and widely used by international clients of Amicorp. Mexican/Peruvian investment trust (fideicomiso) for structured investing. Our local team manages incorporation, ongoing administration, accounting, and compliance so you can focus on commercial objectives instead of paperwork.</t>
  </si>
  <si>
    <t>SBS / SMV
Law 26702; General Banking Law</t>
  </si>
  <si>
    <t>1 fideicomitente + fiduciario</t>
  </si>
  <si>
    <t>Peruvian investment trust for infrastructure or real estate financing</t>
  </si>
  <si>
    <t>Licensed fiduciario required; complex documentation; currency risk</t>
  </si>
  <si>
    <t>Peru#Fund#Peru Fideicomiso de Inversion</t>
  </si>
  <si>
    <t>Peru SA</t>
  </si>
  <si>
    <t>The Peru SA is a fund structure regulated under local law and widely used by international clients of Amicorp. Sociedad Anónima — a public limited company structure common in Latin American and European jurisdictions. Our local team manages incorporation, ongoing administration, accounting, and compliance so you can focus on commercial objectives instead of paperwork.</t>
  </si>
  <si>
    <t>SUNARP / SMV
General Corporations Law 26887</t>
  </si>
  <si>
    <t>Peruvian investment company holding assets or subsidiary operations</t>
  </si>
  <si>
    <t>CIT 29.5%; SUNAT compliance; dividend withholding tax</t>
  </si>
  <si>
    <t>Peru#Fund#Peru SA</t>
  </si>
  <si>
    <t>Peru SC</t>
  </si>
  <si>
    <t>Peruvian Sociedad Civil for partnership-style fund structuring.</t>
  </si>
  <si>
    <t>The Peru SC is a fund structure regulated under local law and widely used by international clients of Amicorp. Peruvian Sociedad Civil for partnership-style fund structuring. Our local team manages incorporation, ongoing administration, accounting, and compliance so you can focus on commercial objectives instead of paperwork.</t>
  </si>
  <si>
    <t>Full for limited partners</t>
  </si>
  <si>
    <t>SUNARP
General Corporations Law 26887</t>
  </si>
  <si>
    <t>PE co-investment structure using Peruvian civil partnership form</t>
  </si>
  <si>
    <t>Complex governance; unlimited liability for managing partners</t>
  </si>
  <si>
    <t>Peru#Fund#Peru SC</t>
  </si>
  <si>
    <t xml:space="preserve">   SAUDI ARABIA</t>
  </si>
  <si>
    <t>Saudi Arabia</t>
  </si>
  <si>
    <t>Saudi Arabia LLC</t>
  </si>
  <si>
    <t>Saudi Arabian LLC enabling 100% foreign-owned market entry into the Kingdom under Vision 2030</t>
  </si>
  <si>
    <t>The Saudi Arabia LLC is formed under the Companies Law 2022 with a MISA investment licence permitting up to 100% foreign ownership in most sectors, providing direct access to the largest GCC economy and eligibility for government contracting and Saudization programs.</t>
  </si>
  <si>
    <t>4-8 weeks (incl. MISA licence)</t>
  </si>
  <si>
    <t>Annual audited financials, zakat/CIT filings, VAT returns, GOSI and Saudization compliance, and commercial registration renewal</t>
  </si>
  <si>
    <t>Established Saudi Arabia legal framework familiar to investors, banks, and counterparties</t>
  </si>
  <si>
    <t>International groups entering the Saudi market</t>
  </si>
  <si>
    <t>Contractors serving giga-projects (NEOM, Red Sea)</t>
  </si>
  <si>
    <t>Distributors and service providers to the Kingdom</t>
  </si>
  <si>
    <t>Regional HQ candidates under the RHQ program</t>
  </si>
  <si>
    <t>Up to 100% foreign ownership under MISA licence</t>
  </si>
  <si>
    <t>Access to the largest economy in the GCC</t>
  </si>
  <si>
    <t>20% CIT on foreign share; zakat on Saudi share</t>
  </si>
  <si>
    <t>Eligibility for government tenders with local presence</t>
  </si>
  <si>
    <t>Civil / Sharia-influenced statutory law</t>
  </si>
  <si>
    <t>Full (limited to capital)</t>
  </si>
  <si>
    <t>Ministry of Commerce / MISA
Companies Law 2022 (Royal Decree M/132)</t>
  </si>
  <si>
    <t>Foreign-owned operating subsidiary for Saudi market entry and project contracting</t>
  </si>
  <si>
    <t>MISA capital and licensing conditions by sector; Saudization quotas; withholding tax on payments abroad</t>
  </si>
  <si>
    <t>Saudi Arabia#Company#Saudi Arabia LLC</t>
  </si>
  <si>
    <t xml:space="preserve">   SEYCHELLES</t>
  </si>
  <si>
    <t>Seychelles</t>
  </si>
  <si>
    <t>Seychelles SYIBC</t>
  </si>
  <si>
    <t>Seychelles International Business Company for international trade and holding.</t>
  </si>
  <si>
    <t>The Seychelles SYIBC is a entity structure regulated under local law and widely used by international clients of Amicorp. Seychelles International Business Company for international trade and holding. Our local team manages incorporation, ongoing administration, accounting, and compliance so you can focus on commercial objectives instead of paperwork.</t>
  </si>
  <si>
    <t>Established Seychelles legal framework familiar to investors, banks, and counterparties</t>
  </si>
  <si>
    <t>Holding investments into and out of Seychelles</t>
  </si>
  <si>
    <t>FSA Seychelles
International Business Companies Act 2016</t>
  </si>
  <si>
    <t>Low-cost offshore holding company for emerging market investments</t>
  </si>
  <si>
    <t>FATF grey-list risk; limited treaty network; less prestigious than BVI/Cayman</t>
  </si>
  <si>
    <t>Seychelles#Company#Seychelles SYIBC</t>
  </si>
  <si>
    <t xml:space="preserve">   SCOTLAND</t>
  </si>
  <si>
    <t>Scotland</t>
  </si>
  <si>
    <t>Scotland Ltd</t>
  </si>
  <si>
    <t>GBP</t>
  </si>
  <si>
    <t>The Scotland Ltd is a entity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</si>
  <si>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Established Scotland legal framework familiar to investors, banks, and counterparties</t>
  </si>
  <si>
    <t>Holding investments into and out of Scotland</t>
  </si>
  <si>
    <t>Common Law (Scots Law)</t>
  </si>
  <si>
    <t>Companies House UK
Companies Act 2006; Scots law provisions</t>
  </si>
  <si>
    <t>UK company with Scots law advantages for real estate or fund GP structures</t>
  </si>
  <si>
    <t>UK CIT 25%; HMRC compliance; post-Brexit regulatory changes</t>
  </si>
  <si>
    <t>Scotland#Company#Scotland Ltd</t>
  </si>
  <si>
    <t>Scotland LLP</t>
  </si>
  <si>
    <t>Scottish Limited Liability Partnership combining separate legal personality with tax transparency</t>
  </si>
  <si>
    <t>The Scotland LLP is registered at Companies House under the LLP Act 2000 and, uniquely among UK partnerships, has full separate legal personality under Scots law while remaining fiscally transparent — no UK tax arises where members are non-resident and income is non-UK source.</t>
  </si>
  <si>
    <t>3-5 business days</t>
  </si>
  <si>
    <t>Annual confirmation statement and accounts to Companies House, PSC register maintenance, and HMRC partnership return where applicable</t>
  </si>
  <si>
    <t>Non-resident partners running international trading structures</t>
  </si>
  <si>
    <t>Fund carry and investment partnership vehicles</t>
  </si>
  <si>
    <t>Agency arrangements with UK credibility</t>
  </si>
  <si>
    <t>Professional services groups</t>
  </si>
  <si>
    <t>Separate legal personality under Scots law</t>
  </si>
  <si>
    <t>Fiscally transparent — taxed at member level</t>
  </si>
  <si>
    <t>Members' liability limited to agreed contribution</t>
  </si>
  <si>
    <t>UK-registered vehicle with international recognition</t>
  </si>
  <si>
    <t>LLP</t>
  </si>
  <si>
    <t>Scots Law (Common Law family)</t>
  </si>
  <si>
    <t>Limited to members' contributions</t>
  </si>
  <si>
    <t>Companies House (Edinburgh)
Limited Liability Partnerships Act 2000</t>
  </si>
  <si>
    <t>Yes (incl. PSC register)</t>
  </si>
  <si>
    <t>2 members</t>
  </si>
  <si>
    <t>Tax-transparent international partnership with a reputable UK registration</t>
  </si>
  <si>
    <t>Public accounts and PSC disclosure; UK-source income taxable; AML scrutiny of SLP-type structures</t>
  </si>
  <si>
    <t>Scotland#Partnership#Scotland LLP</t>
  </si>
  <si>
    <t xml:space="preserve">   SINGAPORE</t>
  </si>
  <si>
    <t>Singapore</t>
  </si>
  <si>
    <t>Alexandra Long</t>
  </si>
  <si>
    <t>Singapore Pte. Ltd</t>
  </si>
  <si>
    <t>SGD</t>
  </si>
  <si>
    <t>Singapore Private Limited Company, Asia's premier corporate vehicle.</t>
  </si>
  <si>
    <t>The Singapore Pte. Ltd is a entity structure regulated under local law and widely used by international clients of Amicorp. Singapore Private Limited Company, Asia's premier corporate vehicle. Our local team manages incorporation, ongoing administration, accounting, and compliance so you can focus on commercial objectives instead of paperwork.</t>
  </si>
  <si>
    <t>Established Singapore legal framework familiar to investors, banks, and counterparties</t>
  </si>
  <si>
    <t>Holding investments into and out of Singapore</t>
  </si>
  <si>
    <t>ACRA (Accounting &amp; Corporate Regulatory Authority)
Companies Act (Cap. 50)</t>
  </si>
  <si>
    <t>Asia-Pacific holding company, regional HQ, or fund management entity</t>
  </si>
  <si>
    <t>Substance requirements; IRAS transfer pricing; MAS licensing for fund activities</t>
  </si>
  <si>
    <t>Administrative/Accounting services: SGD 250-500/hr
Corporate secretarial and legal services: SGD 275-580/hr</t>
  </si>
  <si>
    <t>Singapore#Company#Singapore Pte. Ltd</t>
  </si>
  <si>
    <t>Singapore PTC</t>
  </si>
  <si>
    <t>SGD, USD</t>
  </si>
  <si>
    <t>Private Trust Company for managing family trust structures.</t>
  </si>
  <si>
    <t>The Singapore PTC is a entity structure regulated under local law and widely used by international clients of Amicorp. Private Trust Company for managing family trust structures. Our local team manages incorporation, ongoing administration, accounting, and compliance so you can focus on commercial objectives instead of paperwork.</t>
  </si>
  <si>
    <t>MAS / ACRA
Trust Companies Act (Cap. 336); Companies Act</t>
  </si>
  <si>
    <t>Family office PTC managing trust for single HNW family; Singapore Variable Capital Company structure</t>
  </si>
  <si>
    <t>Must engage licensed trust company (TFO) as administrator; MAS supervision if SFO/MFO</t>
  </si>
  <si>
    <t>Singapore#Company#Singapore PTC</t>
  </si>
  <si>
    <t>Singapore LLP</t>
  </si>
  <si>
    <t>Limited Liability Partnership offering flexible profit allocation and limited partner protection.</t>
  </si>
  <si>
    <t>The Singapore LLP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</si>
  <si>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MAS / ACRA
Limited Partnerships Act (Cap. 163B); SFA</t>
  </si>
  <si>
    <t>Singapore PE/VC fund for Asia-focused strategies; alternative to Cayman ELP</t>
  </si>
  <si>
    <t>MAS CMS licence for fund management; GP unlimited liability; annual audit</t>
  </si>
  <si>
    <t>Singapore#Partnership#Singapore LLP</t>
  </si>
  <si>
    <t>Edward Lee</t>
  </si>
  <si>
    <t>Singapore Trust</t>
  </si>
  <si>
    <t>The Singapore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</si>
  <si>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MAS / ACRA
Trust Companies Act (Cap. 336); Income Tax Act</t>
  </si>
  <si>
    <t>International discretionary trust for Asian HNW families; Singapore-based family office structure</t>
  </si>
  <si>
    <t>CRS reporting; MAS-licensed trustee required; AML/CFT compliance</t>
  </si>
  <si>
    <t>Singapore#Trust#Singapore Trust</t>
  </si>
  <si>
    <t>Singapore Escrow Agent</t>
  </si>
  <si>
    <t>The Singapore Escrow Agent is a trust structure regulated under local law and widely used by international clients of Amicorp. Escrow trust arrangement for secure third-party fund holding. Our local team manages incorporation, ongoing administration, accounting, and compliance so you can focus on commercial objectives instead of paperwork.</t>
  </si>
  <si>
    <t>MAS
Trust Companies Act; Payment Services Act</t>
  </si>
  <si>
    <t>M&amp;A purchase price escrow or commercial dispute resolution fund holding</t>
  </si>
  <si>
    <t>Payment Services Act licensing may apply; AML/CFT compliance</t>
  </si>
  <si>
    <t>Singapore#Trust#Singapore Escrow Agent</t>
  </si>
  <si>
    <t>Singapore VCC</t>
  </si>
  <si>
    <t>The Singapore VCC is a fund structure regulated under local law and widely used by international clients of Amicorp. Variable Capital Company enabling umbrella fund structures with sub-funds. Our local team manages incorporation, ongoing administration, accounting, and compliance so you can focus on commercial objectives instead of paperwork.</t>
  </si>
  <si>
    <t>MAS / ACRA
Variable Capital Companies Act 2018</t>
  </si>
  <si>
    <t>Yes (umbrella only)</t>
  </si>
  <si>
    <t>Singapore-domiciled open/closed-end fund for institutional or retail investors</t>
  </si>
  <si>
    <t>MAS-licensed fund manager required; annual audit; CRS reporting</t>
  </si>
  <si>
    <t>30000 (30-50bps with 30,000 minimum)</t>
  </si>
  <si>
    <t>15000 (3 bps with 15,000 minimum)</t>
  </si>
  <si>
    <t>Singapore#Fund#Singapore VCC</t>
  </si>
  <si>
    <t>Singapore VCC (Existing) — Sub-Fund Compartment</t>
  </si>
  <si>
    <t>Activation of a new sub-fund within an existing Singapore VCC umbrella — a fast-track route to a ring-fenced investment compartment without establishing a new fund.</t>
  </si>
  <si>
    <t>The Singapore VCC (Existing) Sub-Fund Compartment activates a new sub-fund within an already-authorised Singapore Variable Capital Company, rather than establishing a new fund from scratch. The umbrella VCC already has its MAS-licensed fund manager and ACRA registration, registered office, directors, auditor, and administrator in place, so launching a new sub-fund requires only a sub-fund supplement filing — making it significantly faster and more cost-effective than a full fund formation. Each sub-fund is legally ring-fenced from the others, with its own investment objective, investor base, and NAV. Our local team manages the sub-fund activation, documentation, and ongoing compliance so you can focus on deploying capital.</t>
  </si>
  <si>
    <t>Leverages existing Singapore VCC infrastructure — no new entity incorporation required</t>
  </si>
  <si>
    <t>Rapid deployment: umbrella MAS-licensed fund manager and ACRA registration, registered office, auditor, and administrator already in place</t>
  </si>
  <si>
    <t>Asset managers seeking a fast-track sub-fund launch within an existing Singapore VCC</t>
  </si>
  <si>
    <t>Rapid activation within an established, authorised Singapore VCC umbrella</t>
  </si>
  <si>
    <t>New sub-fund compartment within an existing Singapore VCC umbrella, with its own investment strategy, investors, and NAV</t>
  </si>
  <si>
    <t>Sub-fund must operate within the scope of the umbrella VCC; sub-fund supplement subject to MAS review and fund manager approval</t>
  </si>
  <si>
    <t>Singapore#Fund - compartment#Singapore VCC (Existing) — Sub-Fund Compartment</t>
  </si>
  <si>
    <t>Singapore Unit Trust</t>
  </si>
  <si>
    <t>The Singapore Unit Trust is a fund structure regulated under local law and widely used by international clients of Amicorp. Pooled investment vehicle where investors hold units representing beneficial interest. Our local team manages incorporation, ongoing administration, accounting, and compliance so you can focus on commercial objectives instead of paperwork.</t>
  </si>
  <si>
    <t>MAS
Securities and Futures Act (Cap. 289); CIS Code</t>
  </si>
  <si>
    <t>MAS-authorised retail unit trust for Singapore and regional distribution</t>
  </si>
  <si>
    <t>CIS Code compliance; MAS-licensed trustee and manager; annual audit</t>
  </si>
  <si>
    <t>Singapore#Fund#Singapore Unit Trust</t>
  </si>
  <si>
    <t>Singapore LP</t>
  </si>
  <si>
    <t>The Singapore LP is a fund structure regulated under local law and widely used by international clients of Amicorp. Limited Partnership offering flexible profit allocation and limited partner protection. Our local team manages incorporation, ongoing administration, accounting, and compliance so you can focus on commercial objectives instead of paperwork.</t>
  </si>
  <si>
    <t>Singapore#Fund#Singapore LP</t>
  </si>
  <si>
    <t>Singapore Ltd</t>
  </si>
  <si>
    <t>The Singapore Ltd is a fund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</si>
  <si>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MAS / ACRA
Companies Act; SFA</t>
  </si>
  <si>
    <t>Singapore corporate fund vehicle for closed-end PE or real estate investments</t>
  </si>
  <si>
    <t>MAS licensing; annual audit; ACRA compliance</t>
  </si>
  <si>
    <t>Singapore#Fund#Singapore Ltd</t>
  </si>
  <si>
    <t>Singapore Business Trust / REIT</t>
  </si>
  <si>
    <t>Singapore Business Trust or Real Estate Investment Trust structure.</t>
  </si>
  <si>
    <t>The Singapore Business Trust / REIT is a fund structure regulated under local law and widely used by international clients of Amicorp. Singapore Business Trust or Real Estate Investment Trust structure. Our local team manages incorporation, ongoing administration, accounting, and compliance so you can focus on commercial objectives instead of paperwork.</t>
  </si>
  <si>
    <t>MAS / SGX
Business Trusts Act (Cap. 31A); SFA; SGX Listing Rules</t>
  </si>
  <si>
    <t>Yes (listed)</t>
  </si>
  <si>
    <t>1 trustee-manager + investors</t>
  </si>
  <si>
    <t>Singapore REIT or Business Trust listed on SGX for real estate or operating assets</t>
  </si>
  <si>
    <t>Must distribute ≥90% of distributable income; SGX/MAS ongoing compliance; complex regulation</t>
  </si>
  <si>
    <t>Singapore#Fund#Singapore Business Trust / REIT</t>
  </si>
  <si>
    <t xml:space="preserve">   SOUTH DAKOTA</t>
  </si>
  <si>
    <t>South Dakota</t>
  </si>
  <si>
    <t>South Dakota LLC single-member Non-US Manager</t>
  </si>
  <si>
    <t>The South Dakota LLC single-member Non-US Manager is a entity structure regulated under local law and widely used by international clients of Amicorp. Single-member LLC with non-US manager for international structuring. Our local team manages incorporation, ongoing administration, accounting, and compliance so you can focus on commercial objectives instead of paperwork.</t>
  </si>
  <si>
    <t>Established South Dakota legal framework familiar to investors, banks, and counterparties</t>
  </si>
  <si>
    <t>Holding investments into and out of South Dakota</t>
  </si>
  <si>
    <t>South Dakota Secretary of State / IRS
South Dakota Codified Laws Title 47</t>
  </si>
  <si>
    <t>Offshore-controlled US entity for holding US real estate or financial assets</t>
  </si>
  <si>
    <t>FIRPTA/FDAP withholding; FATCA compliance</t>
  </si>
  <si>
    <t>South Dakota#Company#South Dakota LLC single-member Non-US Manager</t>
  </si>
  <si>
    <t>South Dakota LLC multi-member Non-US Manager</t>
  </si>
  <si>
    <t>The South Dakota LLC multi-member Non-US Manager is a entity structure regulated under local law and widely used by international clients of Amicorp. Multi-member LLC managed by non-US persons, offering pass-through taxation. Our local team manages incorporation, ongoing administration, accounting, and compliance so you can focus on commercial objectives instead of paperwork.</t>
  </si>
  <si>
    <t>Multi-owner US holding structure with non-US management for tax efficiency</t>
  </si>
  <si>
    <t>Federal pass-through taxation; FBAR requirements</t>
  </si>
  <si>
    <t>South Dakota#Company#South Dakota LLC multi-member Non-US Manager</t>
  </si>
  <si>
    <t>South Dakota LLC multi-member US Manager</t>
  </si>
  <si>
    <t>The South Dakota LLC multi-member US Manager is a entity structure regulated under local law and widely used by international clients of Amicorp. Multi-member LLC with US-based management, ideal for domestic operations. Our local team manages incorporation, ongoing administration, accounting, and compliance so you can focus on commercial objectives instead of paperwork.</t>
  </si>
  <si>
    <t>Multi-member US operating or holding company</t>
  </si>
  <si>
    <t>Federal taxation; SE tax on managing members</t>
  </si>
  <si>
    <t>South Dakota#Company#South Dakota LLC multi-member US Manager</t>
  </si>
  <si>
    <t>South Dakota LLC single-member US Manager</t>
  </si>
  <si>
    <t>The South Dakota LLC single-member US Manager is a entity structure regulated under local law and widely used by international clients of Amicorp. Single-member LLC with US manager, treated as disregarded entity for tax. Our local team manages incorporation, ongoing administration, accounting, and compliance so you can focus on commercial objectives instead of paperwork.</t>
  </si>
  <si>
    <t>Single-owner US business or holding vehicle with no SD income tax</t>
  </si>
  <si>
    <t>Federal SE/income tax; SD annual report</t>
  </si>
  <si>
    <t>South Dakota#Company#South Dakota LLC single-member US Manager</t>
  </si>
  <si>
    <t>South Dakota Delegated Trust</t>
  </si>
  <si>
    <t>Trust with delegated management responsibilities to appointed parties.</t>
  </si>
  <si>
    <t>The South Dakota Delegated Trust is a trust structure regulated under local law and widely used by international clients of Amicorp. Trust with delegated management responsibilities to appointed parties. Our local team manages incorporation, ongoing administration, accounting, and compliance so you can focus on commercial objectives instead of paperwork.</t>
  </si>
  <si>
    <t>SD Division of Banking
SDCL Chapter 55-1B (Directed Trust Act)</t>
  </si>
  <si>
    <t>Dynasty trust with delegated investment management to appointed investment advisor</t>
  </si>
  <si>
    <t>US federal gift/estate tax applies; grantor trust rules; Form 3520 for foreign settlors</t>
  </si>
  <si>
    <t>South Dakota#Trust#South Dakota Delegated Trust</t>
  </si>
  <si>
    <t>South Dakota Directed Trust</t>
  </si>
  <si>
    <t>Trust where investment and distribution decisions are directed by appointed advisors.</t>
  </si>
  <si>
    <t>The South Dakota Directed Trust is a trust structure regulated under local law and widely used by international clients of Amicorp. Trust where investment and distribution decisions are directed by appointed advisors. Our local team manages incorporation, ongoing administration, accounting, and compliance so you can focus on commercial objectives instead of paperwork.</t>
  </si>
  <si>
    <t>HNW family dynasty trust with separate investment and distribution advisors; perpetual trust</t>
  </si>
  <si>
    <t>Federal estate/gift tax; complex administration; foreign settlor reporting</t>
  </si>
  <si>
    <t>South Dakota#Trust#South Dakota Directed Trust</t>
  </si>
  <si>
    <t>South Dakota Discretionary Trust</t>
  </si>
  <si>
    <t>Trust providing trustee full discretion over distributions to beneficiaries.</t>
  </si>
  <si>
    <t>The South Dakota Discretionary Trust is a trust structure regulated under local law and widely used by international clients of Amicorp. Trust providing trustee full discretion over distributions to beneficiaries. Our local team manages incorporation, ongoing administration, accounting, and compliance so you can focus on commercial objectives instead of paperwork.</t>
  </si>
  <si>
    <t>Full (spendthrift; creditor protection)</t>
  </si>
  <si>
    <t>SD Division of Banking
SDCL Title 55</t>
  </si>
  <si>
    <t>Domestic asset protection trust (DAPT) for US persons seeking creditor protection</t>
  </si>
  <si>
    <t>Federal courts may not honour SD DAPT vs federal creditors; Form 3520 for foreign settlors</t>
  </si>
  <si>
    <t>South Dakota#Trust#South Dakota Discretionary Trust</t>
  </si>
  <si>
    <t xml:space="preserve">   SPAIN</t>
  </si>
  <si>
    <t>Spain</t>
  </si>
  <si>
    <t>Maria Eugenia Hernandez</t>
  </si>
  <si>
    <t xml:space="preserve">Spain SL </t>
  </si>
  <si>
    <t xml:space="preserve">Spanish Limited Company </t>
  </si>
  <si>
    <t>The Spanish SL is the idel vehicle for any type of business activity except from banking and insurance, investment or pension funds, sports clubs, or security firms.   Our local team manages incorporation, ongoing administration, accounting, and compliance so you can focus on commercial objectives instead of paperwork.</t>
  </si>
  <si>
    <t>3-7 business days (after the issueance of Shareholder NIE - numero de identificación fiscal, and name reservation).</t>
  </si>
  <si>
    <t>Established Spain legal framework familiar to investors, banks, and counterparties</t>
  </si>
  <si>
    <t>Holding investments into and out of Spain. Designates for family-owned businesses, medium-sized companies with few partners (1 partner only is poddible).</t>
  </si>
  <si>
    <t>Limited liability for shareholders. Minimum capital of EUR 1 (Law 18/2022). Transfer of shares need to be approved by the other shareholders.</t>
  </si>
  <si>
    <t>Flexible management structure . Not obliged to distribute dividends.</t>
  </si>
  <si>
    <t>Tax efficient - could reach 1,25% Income tax rate</t>
  </si>
  <si>
    <t>Registro Mercantil / AEAT
Law 27/2014 on Corporate Income Tax (Art. 107-110)</t>
  </si>
  <si>
    <t>Any type of business activity (including holding with participation exempteion for dividends received from foreign subsidiaries) except from banking and insurance, investment or pension funds, sports clubs, or security firms.</t>
  </si>
  <si>
    <t>ATAD compliance; substance requirements; Spanish CIT 25% on non-qualifying income</t>
  </si>
  <si>
    <t>EUR 150–390/hr</t>
  </si>
  <si>
    <t xml:space="preserve">Spain#Company#Spain SL </t>
  </si>
  <si>
    <t>Spain SL under the ETVE regime</t>
  </si>
  <si>
    <t>Spanish Limited Company - ETVE - for the holding and management of foreign investments (Shares of foreign companies)</t>
  </si>
  <si>
    <t>The Spanish SL applies for that tax regime that which will grant the SL the ETVE qualification. The ETVE regime is a regulated structure widely used by international clients of Amicorp. Spanish Entidad de Tenencia de Valores Extranjeros — foreign securities holding entity.  The object of the company must include the purpose of holdingand management of foreign shares. Our local team manages incorporation, ongoing administration, accounting, and compliance so you can focus on commercial objectives instead of paperwork.</t>
  </si>
  <si>
    <t>3-7 business days (after the issueance of Shareholder NIE - numero de identificación fiscal, and name reservation). Once the entity is incorporated, the application for the EVE regime is processed.</t>
  </si>
  <si>
    <t>Spain holding company with participation exemption for dividends from foreign subsidiaries</t>
  </si>
  <si>
    <t>Spain#Company#Spain SL under the ETVE regime</t>
  </si>
  <si>
    <t>Francisco Donada</t>
  </si>
  <si>
    <t>Spain SCR</t>
  </si>
  <si>
    <t>Spanish Sociedad de Capital Riesgo — venture capital company.</t>
  </si>
  <si>
    <t>The Spain SCR is a fund structure regulated under local law and widely used by international clients of Amicorp. Spanish Sociedad de Capital Riesgo — venture capital company. Our local team manages incorporation, ongoing administration, accounting, and compliance so you can focus on commercial objectives instead of paperwork.</t>
  </si>
  <si>
    <t>CNMV (Comisión Nacional del Mercado de Valores)
Law 22/2014 on Venture Capital; AIFMD</t>
  </si>
  <si>
    <t>Spain-domiciled venture capital or PE fund in corporate form</t>
  </si>
  <si>
    <t>CNMV authorisation; minimum EUR 1.2m capital; investment restrictions</t>
  </si>
  <si>
    <t>Spain#Fund#Spain SCR</t>
  </si>
  <si>
    <t>Spain FCR</t>
  </si>
  <si>
    <t>Spanish Fondo de Capital Riesgo — venture capital fund.</t>
  </si>
  <si>
    <t>The Spain FCR is a fund structure regulated under local law and widely used by international clients of Amicorp. Spanish Fondo de Capital Riesgo — venture capital fund. Our local team manages incorporation, ongoing administration, accounting, and compliance so you can focus on commercial objectives instead of paperwork.</t>
  </si>
  <si>
    <t>CNMV
Law 22/2014 on Venture Capital</t>
  </si>
  <si>
    <t>Spain PE fund without legal personality; management company manages FCR assets</t>
  </si>
  <si>
    <t>Management company required; CNMV compliance; investment restrictions</t>
  </si>
  <si>
    <t>Spain#Fund#Spain FCR</t>
  </si>
  <si>
    <t>Spain SICC</t>
  </si>
  <si>
    <t>Spanish Sociedad de Inversión Colectiva Cerrada — closed-ended collective investment.</t>
  </si>
  <si>
    <t>The Spain SICC is a fund structure regulated under local law and widely used by international clients of Amicorp. Spanish Sociedad de Inversión Colectiva Cerrada — closed-ended collective investment. Our local team manages incorporation, ongoing administration, accounting, and compliance so you can focus on commercial objectives instead of paperwork.</t>
  </si>
  <si>
    <t>CNMV
Law 22/2014; AIFMD</t>
  </si>
  <si>
    <t>Closed-ended collective investment company for illiquid assets (PE, RE, infrastructure)</t>
  </si>
  <si>
    <t>CNMV authorisation; closed-end constraints; AIFMD compliance</t>
  </si>
  <si>
    <t>Spain#Fund#Spain SICC</t>
  </si>
  <si>
    <t>Spain FICC</t>
  </si>
  <si>
    <t>Spanish Fondo de Inversión Colectiva Cerrada — closed-ended investment fund.</t>
  </si>
  <si>
    <t>The Spain FICC is a fund structure regulated under local law and widely used by international clients of Amicorp. Spanish Fondo de Inversión Colectiva Cerrada — closed-ended investment fund. Our local team manages incorporation, ongoing administration, accounting, and compliance so you can focus on commercial objectives instead of paperwork.</t>
  </si>
  <si>
    <t>CNMV
Law 22/2014</t>
  </si>
  <si>
    <t>Closed-ended contractual investment fund for institutional investors in Spain</t>
  </si>
  <si>
    <t>Management company required; CNMV compliance costs; closed-end</t>
  </si>
  <si>
    <t>Spain#Fund#Spain FICC</t>
  </si>
  <si>
    <t xml:space="preserve">   SWITZERLAND</t>
  </si>
  <si>
    <t>Switzerland</t>
  </si>
  <si>
    <t>Switzerland Branch</t>
  </si>
  <si>
    <t>CHF, USD</t>
  </si>
  <si>
    <t>Branch office of a foreign company for local market presence.</t>
  </si>
  <si>
    <t>The Switzerland Branch is a entity structure regulated under local law and widely used by international clients of Amicorp. Branch office of a foreign company for local market presence. Our local team manages incorporation, ongoing administration, accounting, and compliance so you can focus on commercial objectives instead of paperwork.</t>
  </si>
  <si>
    <t>Established Switzerland legal framework familiar to investors, banks, and counterparties</t>
  </si>
  <si>
    <t>Holding investments into and out of Switzerland</t>
  </si>
  <si>
    <t>Branch</t>
  </si>
  <si>
    <t>None (parent liable)</t>
  </si>
  <si>
    <t>Cantonal Commercial Register
Swiss Code of Obligations; Swiss Civil Code</t>
  </si>
  <si>
    <t>Parent company only</t>
  </si>
  <si>
    <t>Foreign company establishing Swiss presence without incorporating subsidiary</t>
  </si>
  <si>
    <t>Parent liable for branch obligations; thin capitalisation issues; transfer pricing</t>
  </si>
  <si>
    <t>USD 400–600/hr (confirm with local office)</t>
  </si>
  <si>
    <t>Switzerland#Company#Switzerland Branch</t>
  </si>
  <si>
    <t>Switzerland AG</t>
  </si>
  <si>
    <t>The Switzerland AG is a entity structure regulated under local law and widely used by international clients of Amicorp. Aktiengesellschaft — German/Swiss public limited company for larger enterprises. Our local team manages incorporation, ongoing administration, accounting, and compliance so you can focus on commercial objectives instead of paperwork.</t>
  </si>
  <si>
    <t>Cantonal Commercial Register / FINMA or SROs (financial services)
Swiss Code of Obligations Art. 620-763</t>
  </si>
  <si>
    <t>Swiss holding company, trading company, or regional HQ with cantonal tax advantages</t>
  </si>
  <si>
    <t>CHF 100,000 minimum capital; mandatory audit; Swiss banking secrecy reduced post-2017</t>
  </si>
  <si>
    <t>Switzerland#Company#Switzerland AG</t>
  </si>
  <si>
    <t>Switzerland GmbH</t>
  </si>
  <si>
    <t>The Switzerland GmbH is a entity structure regulated under local law and widely used by international clients of Amicorp. Gesellschaft mit beschränkter Haftung — German/Swiss private limited company. Our local team manages incorporation, ongoing administration, accounting, and compliance so you can focus on commercial objectives instead of paperwork.</t>
  </si>
  <si>
    <t>Cantonal Commercial Register
Swiss Code of Obligations Art. 772-827</t>
  </si>
  <si>
    <t>Swiss SME or subsidiary with lower minimum capital requirements than AG</t>
  </si>
  <si>
    <t>All members listed publicly; no anonymous ownership; complex transfer of shares</t>
  </si>
  <si>
    <t>Switzerland#Company#Switzerland GmbH</t>
  </si>
  <si>
    <t>Switzerland UK Trust with Swiss Trustee</t>
  </si>
  <si>
    <t>The Switzerland Trust with Swiss Trustee is a trust structure regulated under local law and widely used by international clients of Amicorp. Trust administered by a Swiss-regulated professional trustee. Our local team manages incorporation, ongoing administration, accounting, and compliance so you can focus on commercial objectives instead of paperwork.</t>
  </si>
  <si>
    <t>Common Law (Hague Convention applicable)</t>
  </si>
  <si>
    <t>FINMA
Swiss Federal Act on Financial Institutions (FinIA 2019); Hague Convention 1985</t>
  </si>
  <si>
    <t>International trust administered by Swiss FINMA-regulated trustee for HNW European clients</t>
  </si>
  <si>
    <t>FINMA licensing of trustee; Switzerland recognizes foreign trusts but no domestic trust law; CRS/AIA reporting</t>
  </si>
  <si>
    <t>Switzerland#Trust#Switzerland UK Trust with Swiss Trustee</t>
  </si>
  <si>
    <t>Switzerland Trust with Swiss Trustee (Split Trust)</t>
  </si>
  <si>
    <t>CHF</t>
  </si>
  <si>
    <t>Split trust arrangement with a regulated Swiss trustee separating investment and distribution functions</t>
  </si>
  <si>
    <t>The Switzerland Split Trust is a trust (typically under English or other common law, recognised in Switzerland via the Hague Trust Convention) administered by a FINMA-supervised Swiss trustee, with roles split between trustee, investment manager, and protector for enhanced governance of complex family wealth.</t>
  </si>
  <si>
    <t>Annual trustee review, trust accounting, FATCA/CRS reporting, Swiss trustee regulatory compliance, and protector liaison</t>
  </si>
  <si>
    <t>Families with bankable assets managed from Switzerland</t>
  </si>
  <si>
    <t>Settlors requiring separation of custody and control</t>
  </si>
  <si>
    <t>Complex multi-asset and multi-generation estates</t>
  </si>
  <si>
    <t>Structures needing institutional-grade governance</t>
  </si>
  <si>
    <t>FINMA-licensed trustee under FinIA supervision</t>
  </si>
  <si>
    <t>Split of investment and distribution powers</t>
  </si>
  <si>
    <t>Swiss banking and asset management ecosystem</t>
  </si>
  <si>
    <t>Choice of governing trust law (e.g. English law)</t>
  </si>
  <si>
    <t>Common Law trust / Swiss regulatory overlay</t>
  </si>
  <si>
    <t>Trustee-held; settlor assets segregated</t>
  </si>
  <si>
    <t>FINMA-supervised trustee
Hague Trust Convention; Financial Institutions Act (FinIA)</t>
  </si>
  <si>
    <t>N/A (settlor/trustee/beneficiaries)</t>
  </si>
  <si>
    <t>Institutional-grade family trust with Swiss administration and split governance roles</t>
  </si>
  <si>
    <t>Swiss trustee licensing costs; substance and documentation standards; tax analysis needed per settlor/beneficiary residence</t>
  </si>
  <si>
    <t>Switzerland#Trust#Switzerland Trust with Swiss Trustee (Split Trust)</t>
  </si>
  <si>
    <t xml:space="preserve">   UNITED KINGDOM</t>
  </si>
  <si>
    <t>United Kingdom</t>
  </si>
  <si>
    <t>United Kingdom Ltd</t>
  </si>
  <si>
    <t>The United Kingdom Ltd is a entity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</si>
  <si>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Established United Kingdom legal framework familiar to investors, banks, and counterparties</t>
  </si>
  <si>
    <t>Holding investments into and out of United Kingdom</t>
  </si>
  <si>
    <t>Separate legal entity personality</t>
  </si>
  <si>
    <t>Tax efficient - Substantial shareholding exemption for Capital Tax Gains (subject to certain condtions being met)</t>
  </si>
  <si>
    <t>Companies House
Companies Act 2006 HM Revenue and Customs</t>
  </si>
  <si>
    <t>UK operating subsidiary, holding company, or EU market access post-Brexit</t>
  </si>
  <si>
    <t>CIT 19 - 25% depending on the profit amount; HMRC BEPS compliance; post-Brexit EU market access limited</t>
  </si>
  <si>
    <t>USD 350–750/hr (confirm with local office)</t>
  </si>
  <si>
    <t>United Kingdom#Company#United Kingdom Ltd</t>
  </si>
  <si>
    <t>United Kingdom Trust with Swiss Trustee</t>
  </si>
  <si>
    <t>The United Kingdom Trust with Swiss Trustee is a trust structure regulated under local law and widely used by international clients of Amicorp. Trust administered by a Swiss-regulated professional trustee. Our local team manages incorporation, ongoing administration, accounting, and compliance so you can focus on commercial objectives instead of paperwork.</t>
  </si>
  <si>
    <t>HMRC / FCA (if trust company regulated)
Trustee Act 2000; Income Tax Act 2007; Taxation of Chargeable Gains Act 1992</t>
  </si>
  <si>
    <t>No (TRS registration required)</t>
  </si>
  <si>
    <t>UK discretionary trust with Swiss trustee for UK/European HNW families; offshore UK trust structure</t>
  </si>
  <si>
    <t>UK Trust Registration Service (TRS) mandatory; HMRC beneficial ownership reporting; complex UK trust taxation</t>
  </si>
  <si>
    <t>United Kingdom#Trust#United Kingdom Trust with Swiss Trustee</t>
  </si>
  <si>
    <t>United Kingdom LLP</t>
  </si>
  <si>
    <t>Limited Liability Partnership — a transparent partnership vehicle combining limited liability with tax transparency at partner level, governed by the Limited Liability Partnerships Act 2000.</t>
  </si>
  <si>
    <t>The United Kingdom LLP is a flexible entity structure regulated under the Limited Liability Partnerships Act 2000 and widely used by international clients of Amicorp. An LLP provides its members with full limited liability while remaining tax-transparent — income and gains are assessed at the level of the partners rather than the LLP itself, making it ideal for international structuring without exposing partners to UK taxation on non-UK source income. The UK LLP also benefits from the UK's extensive network of over 120 double tax treaties and access to a broad bilateral investment treaty (BIT) network. Our local team manages registration, ongoing administration, accounting, and compliance so you can focus on commercial objectives instead of paperwork.</t>
  </si>
  <si>
    <t>Annual return and confirmation statement filed at Companies House; partnership tax return (SA800); members' individual tax obligations managed in their home jurisdictions</t>
  </si>
  <si>
    <t>Tax transparency: income and gains taxed at partner level, not at LLP level — no UK entity-level tax on non-UK source income</t>
  </si>
  <si>
    <t>UK holding regime: ability to structure so that capital gains and dividend income attract 0% UK tax for qualifying non-UK resident partners</t>
  </si>
  <si>
    <t>World's largest double tax treaty network (120+ treaties) providing withholding tax relief and access to favourable treaty rates globally</t>
  </si>
  <si>
    <t>Access to the UK's extensive bilateral investment treaty (BIT) network for protection of cross-border investments</t>
  </si>
  <si>
    <t>Transactions where income and gains should be taxed at partner level rather than at the entity level</t>
  </si>
  <si>
    <t>International structuring involving partners not resident in the UK, where UK taxation on non-UK source income should be avoided</t>
  </si>
  <si>
    <t>Investment holding structures seeking to leverage the UK's 120+ double tax treaty network for efficient cross-border income flows</t>
  </si>
  <si>
    <t>Joint ventures, professional services firms, private equity co-investment vehicles, and fund structures requiring a tax-transparent UK entity</t>
  </si>
  <si>
    <t>Full limited liability for all members (unlike a traditional general partnership)</t>
  </si>
  <si>
    <t>Tax transparent — the LLP itself is not subject to UK corporation tax; profits flow through to members</t>
  </si>
  <si>
    <t>Potential for 0% capital gains tax and 0% dividend income tax under UK participation exemption and substantial shareholding exemption for qualifying structures</t>
  </si>
  <si>
    <t>Common law legal framework with strong creditor and contractual protections recognised globally</t>
  </si>
  <si>
    <t>Limited Liability Partnership (LLP)</t>
  </si>
  <si>
    <t>Full (all members)</t>
  </si>
  <si>
    <t>Companies House
Limited Liability Partnerships Act 2000; Partnership Act 1890</t>
  </si>
  <si>
    <t>International joint ventures, professional services firms, PE co-investment vehicles, and cross-border holding structures benefiting from UK tax treaty access and partner-level taxation</t>
  </si>
  <si>
    <t>Members must file individual tax returns in their home jurisdictions; HMRC may challenge LLP tax transparency if LLP is conducting a trade; post-Brexit EU passport no longer available; substance considerations for treaty access</t>
  </si>
  <si>
    <t>United Kingdom#Partnership#United Kingdom LLP</t>
  </si>
  <si>
    <t>United Kingdom Trust</t>
  </si>
  <si>
    <t>The United Kingdom Trust is a trust structure regulated under local law and widely used by international clients of Amicorp. Discretionary or fixed trust structure for asset protection and succession planning. Our local team manages incorporation, ongoing administration, accounting, and compliance so you can focus on commercial objectives instead of paperwork.</t>
  </si>
  <si>
    <t>HMRC
Trustee Act 2000; various finance acts</t>
  </si>
  <si>
    <t>No (TRS)</t>
  </si>
  <si>
    <t>UK discretionary or life interest trust for domestic wealth planning; offshore UK family trust</t>
  </si>
  <si>
    <t>TRS mandatory; UK inheritance tax planning constraints; HMRC scrutiny of offshore trusts</t>
  </si>
  <si>
    <t>United Kingdom#Trust#United Kingdom Trust</t>
  </si>
  <si>
    <t xml:space="preserve">   URUGUAY</t>
  </si>
  <si>
    <t>Uruguay</t>
  </si>
  <si>
    <t>Martin Improta</t>
  </si>
  <si>
    <t>Uruguay SAU</t>
  </si>
  <si>
    <t>Sociedad Anónima Unipersonal — single-shareholder corporation in Uruguay.</t>
  </si>
  <si>
    <t>The Uruguay SAU is a entity structure regulated under local law and widely used by international clients of Amicorp. Sociedad Anónima Unipersonal — single-shareholder corporation in Uruguay. Our local team manages incorporation, ongoing administration, accounting, and compliance so you can focus on commercial objectives instead of paperwork.</t>
  </si>
  <si>
    <t>Established Uruguay legal framework familiar to investors, banks, and counterparties</t>
  </si>
  <si>
    <t>Holding investments into and out of Uruguay</t>
  </si>
  <si>
    <t>DGI / Registro Público de Comercio
Law 16,060 on Commercial Associations</t>
  </si>
  <si>
    <t>Single-shareholder Uruguayan company for regional LatAm holding or financial services</t>
  </si>
  <si>
    <t>OECD transparency obligations; substance requirements; FATF monitoring</t>
  </si>
  <si>
    <t>Uruguay#Company#Uruguay SAU</t>
  </si>
  <si>
    <t>Uruguay SAU art 47</t>
  </si>
  <si>
    <t>Uruguay SAU under Article 47 for simplified corporate structure.</t>
  </si>
  <si>
    <t>The Uruguay SAU art 47 is a entity structure regulated under local law and widely used by international clients of Amicorp. Uruguay SAU under Article 47 for simplified corporate structure. Our local team manages incorporation, ongoing administration, accounting, and compliance so you can focus on commercial objectives instead of paperwork.</t>
  </si>
  <si>
    <t>DGI / Registro Público de Comercio
Law 16,060 Art. 47 (single-shareholder provision)</t>
  </si>
  <si>
    <t>Simplified single-shareholder entity for Uruguay offshore holding purposes</t>
  </si>
  <si>
    <t>OECD compliance; substance; single shareholder concentration risk</t>
  </si>
  <si>
    <t>Uruguay#Company#Uruguay SAU art 47</t>
  </si>
  <si>
    <t>Uruguay SA</t>
  </si>
  <si>
    <t>The Uruguay SA is a entity structure regulated under local law and widely used by international clients of Amicorp. Sociedad Anónima — a public limited company structure common in Latin American and European jurisdictions. Our local team manages incorporation, ongoing administration, accounting, and compliance so you can focus on commercial objectives instead of paperwork.</t>
  </si>
  <si>
    <t>Uruguay holding or regional Latin American holding company</t>
  </si>
  <si>
    <t>OECD CRS; substance requirements; minimum 2 shareholders for SA</t>
  </si>
  <si>
    <t>Uruguay#Company#Uruguay SA</t>
  </si>
  <si>
    <t>Uruguay SRL</t>
  </si>
  <si>
    <t>The Uruguay SRL is a entity structure regulated under local law and widely used by international clients of Amicorp. Sociedad de Responsabilidad Limitada — a private limited liability company under civil law. Our local team manages incorporation, ongoing administration, accounting, and compliance so you can focus on commercial objectives instead of paperwork.</t>
  </si>
  <si>
    <t>DGI
Law 16,060</t>
  </si>
  <si>
    <t>Uruguay operating company for SME or family business</t>
  </si>
  <si>
    <t>Substance requirements; OECD CRS reporting</t>
  </si>
  <si>
    <t>Uruguay#Company#Uruguay SRL</t>
  </si>
  <si>
    <t>Uruguay Fideicomiso</t>
  </si>
  <si>
    <t>Uruguayan fideicomiso under Law 17,703 for guarantee, administration, and investment purposes</t>
  </si>
  <si>
    <t>The Uruguay Fideicomiso is a trust-equivalent contract under Law 17,703 of 2003 whereby assets are transferred to a fiduciary as segregated patrimony for guarantee, administration, real estate, or financial purposes — the standard fiduciary tool in Uruguay's stable, investment-grade market.</t>
  </si>
  <si>
    <t>Fiduciary accounting and reporting, tax filings on trust income where applicable, and BCU registration for financial fideicomisos</t>
  </si>
  <si>
    <t>Lenders securing collateral via guarantee trusts</t>
  </si>
  <si>
    <t>Real estate development and construction projects</t>
  </si>
  <si>
    <t>Agricultural investment pooling</t>
  </si>
  <si>
    <t>Families administering local assets</t>
  </si>
  <si>
    <t>Segregated patrimony — bankruptcy-remote from parties</t>
  </si>
  <si>
    <t>Recognised guarantee mechanism for project finance</t>
  </si>
  <si>
    <t>Investment-grade jurisdiction with legal stability</t>
  </si>
  <si>
    <t>Flexible contractual design of fiduciary duties</t>
  </si>
  <si>
    <t>Fideicomiso (Trust)</t>
  </si>
  <si>
    <t>Fiduciary-held segregated patrimony</t>
  </si>
  <si>
    <t>Banco Central del Uruguay (financial fideicomisos)
Law 17,703 of 2003</t>
  </si>
  <si>
    <t>BCU register (financial only)</t>
  </si>
  <si>
    <t>N/A (settlor/fiduciary/beneficiary)</t>
  </si>
  <si>
    <t>Guarantee and administration trust for lending, real estate, and agribusiness projects</t>
  </si>
  <si>
    <t>Professional fiduciary required for financial trusts; trust income taxation analysis per asset type</t>
  </si>
  <si>
    <t>Uruguay#Trust#Uruguay Fideicomiso</t>
  </si>
  <si>
    <t xml:space="preserve">   SOUTH AFRICA</t>
  </si>
  <si>
    <t>South Africa</t>
  </si>
  <si>
    <t>South Africa Pty Ltd</t>
  </si>
  <si>
    <t>South African private proprietary limited company.</t>
  </si>
  <si>
    <t>The South Africa Pty Ltd is a entity structure regulated under local law and widely used by international clients of Amicorp. South African private proprietary limited company. Our local team manages incorporation, ongoing administration, accounting, and compliance so you can focus on commercial objectives instead of paperwork.</t>
  </si>
  <si>
    <t>Established South Africa legal framework familiar to investors, banks, and counterparties</t>
  </si>
  <si>
    <t>Holding investments into and out of South Africa</t>
  </si>
  <si>
    <t>CIPC (Companies &amp; Intellectual Property Commission)
Companies Act 71 of 2008</t>
  </si>
  <si>
    <t>South African operating company or holding vehicle for sub-Saharan Africa investments</t>
  </si>
  <si>
    <t>CIT 27%; exchange controls (SARB); BEE requirements in certain sectors</t>
  </si>
  <si>
    <t>South Africa#Company#South Africa Pty Ltd</t>
  </si>
  <si>
    <t xml:space="preserve">   VIETNAM</t>
  </si>
  <si>
    <t>Vietnam</t>
  </si>
  <si>
    <t>Hanno De Vriend</t>
  </si>
  <si>
    <t>Vietnam Ltd</t>
  </si>
  <si>
    <t>The Vietnam Ltd is a entity structure regulated under local law and widely used by international clients of Amicorp. Private Limited Company offering limited liability with straightforward corporate governance. Our local team manages incorporation, ongoing administration, accounting, and compliance so you can focus on commercial objectives instead of paperwork.</t>
  </si>
  <si>
    <t>Established Vietnam legal framework familiar to investors, banks, and counterparties</t>
  </si>
  <si>
    <t>Holding investments into and out of Vietnam</t>
  </si>
  <si>
    <t>DPI (Dept. of Planning)
Enterprise Law 2020</t>
  </si>
  <si>
    <t>Operating subsidiary or holding company for investments in and out of Vietnam</t>
  </si>
  <si>
    <t>CIT 20%; Annual GDT return; mandatory audit for FDI companies compliance requirements</t>
  </si>
  <si>
    <t>Vietnam#Company#Vietnam Ltd</t>
  </si>
  <si>
    <t>Jurisdiction for R1</t>
  </si>
  <si>
    <t>Jurisdiction + Entity Type for R1</t>
  </si>
  <si>
    <t>Jurisdiction + Entity Type - DO for R1</t>
  </si>
  <si>
    <t>Jurisdiction + Entity Type + Sub Type for R1</t>
  </si>
  <si>
    <t>Jurisdiction + Entity Type + Sub Type+ Features for R1</t>
  </si>
  <si>
    <t>Jurisdiction</t>
  </si>
  <si>
    <t>AE-DU-CO-Dubai DIFC Innovation Company</t>
  </si>
  <si>
    <t>AE-DU-CO</t>
  </si>
  <si>
    <t>AE-DU-CO-Dubai DIFC Prescribed Company</t>
  </si>
  <si>
    <t>AE-DU-CO-Dubai DIFC Private Limited Company</t>
  </si>
  <si>
    <t>AE-DU-CO-Dubai DIFC Active Enterprise</t>
  </si>
  <si>
    <t>AE-DU-CO-Dubai Dubai Others</t>
  </si>
  <si>
    <t>AE-DU-FO-Dubai DIFC Foundation</t>
  </si>
  <si>
    <t>AE-DU-FO</t>
  </si>
  <si>
    <t>Jurisdiction + Entity Type + Sub Type - 5series product for R1</t>
  </si>
  <si>
    <t>Jurisdiction + Entity Type + Sub Type+ Servcies + Document for R1</t>
  </si>
  <si>
    <t>Jurisdiction Code</t>
  </si>
  <si>
    <t>BS</t>
  </si>
  <si>
    <t>AR</t>
  </si>
  <si>
    <t>AD</t>
  </si>
  <si>
    <t>BVI</t>
  </si>
  <si>
    <t>BB</t>
  </si>
  <si>
    <t>CA</t>
  </si>
  <si>
    <t>KY</t>
  </si>
  <si>
    <t>CL</t>
  </si>
  <si>
    <t>CN</t>
  </si>
  <si>
    <t>CW</t>
  </si>
  <si>
    <t>CY</t>
  </si>
  <si>
    <t>US-DE</t>
  </si>
  <si>
    <t>AE-DU</t>
  </si>
  <si>
    <t>US-FL</t>
  </si>
  <si>
    <t>DE</t>
  </si>
  <si>
    <t>HK</t>
  </si>
  <si>
    <t>IN</t>
  </si>
  <si>
    <t>IE</t>
  </si>
  <si>
    <t>LT</t>
  </si>
  <si>
    <t>LU</t>
  </si>
  <si>
    <t>MT</t>
  </si>
  <si>
    <t>MU</t>
  </si>
  <si>
    <t>MX</t>
  </si>
  <si>
    <t>NL</t>
  </si>
  <si>
    <t>KN</t>
  </si>
  <si>
    <t>NZ</t>
  </si>
  <si>
    <t>PA</t>
  </si>
  <si>
    <t>PH</t>
  </si>
  <si>
    <t>SA</t>
  </si>
  <si>
    <t>SG</t>
  </si>
  <si>
    <t>US-SD</t>
  </si>
  <si>
    <t>ES</t>
  </si>
  <si>
    <t>CH</t>
  </si>
  <si>
    <t>UK</t>
  </si>
  <si>
    <t>UY</t>
  </si>
  <si>
    <t>ZA</t>
  </si>
  <si>
    <t>VN</t>
  </si>
  <si>
    <t>Entity Type Code</t>
  </si>
  <si>
    <t>BS-CO</t>
  </si>
  <si>
    <t>BS-TR</t>
  </si>
  <si>
    <t>AR-TR</t>
  </si>
  <si>
    <t>AD-CO</t>
  </si>
  <si>
    <t>BVI-CO</t>
  </si>
  <si>
    <t>BVI-TR</t>
  </si>
  <si>
    <t>BB-CO</t>
  </si>
  <si>
    <t>BB-TR</t>
  </si>
  <si>
    <t>CA-PA</t>
  </si>
  <si>
    <t>KY-CO</t>
  </si>
  <si>
    <t>KY-TR</t>
  </si>
  <si>
    <t>CL-CO</t>
  </si>
  <si>
    <t>CL-TR</t>
  </si>
  <si>
    <t>CN-CO</t>
  </si>
  <si>
    <t>CW-CO</t>
  </si>
  <si>
    <t>CW-FO</t>
  </si>
  <si>
    <t>CY-CO</t>
  </si>
  <si>
    <t>CY-TR</t>
  </si>
  <si>
    <t>US-DE-CO</t>
  </si>
  <si>
    <t>US-FL-CO</t>
  </si>
  <si>
    <t>DE-CO</t>
  </si>
  <si>
    <t>HK-CO</t>
  </si>
  <si>
    <t>IN-CO</t>
  </si>
  <si>
    <t>IN-TR</t>
  </si>
  <si>
    <t>IE-CO</t>
  </si>
  <si>
    <t>LT-CO</t>
  </si>
  <si>
    <t>LU-CO</t>
  </si>
  <si>
    <t>MT-CO</t>
  </si>
  <si>
    <t>MT-TR</t>
  </si>
  <si>
    <t>MU-CO</t>
  </si>
  <si>
    <t>MU-TR</t>
  </si>
  <si>
    <t>MU-FO</t>
  </si>
  <si>
    <t>MX-CO</t>
  </si>
  <si>
    <t>MX-TR</t>
  </si>
  <si>
    <t>NL-CO</t>
  </si>
  <si>
    <t>NL-PA</t>
  </si>
  <si>
    <t>NL-FO</t>
  </si>
  <si>
    <t>KN-CO</t>
  </si>
  <si>
    <t>NZ-CO</t>
  </si>
  <si>
    <t>NZ-TR</t>
  </si>
  <si>
    <t>NZ-PA</t>
  </si>
  <si>
    <t>PA-CO</t>
  </si>
  <si>
    <t>PA-FO</t>
  </si>
  <si>
    <t>PH-CO</t>
  </si>
  <si>
    <t>SA-CO</t>
  </si>
  <si>
    <t>SG-CO</t>
  </si>
  <si>
    <t>SG-PA</t>
  </si>
  <si>
    <t>SG-TR</t>
  </si>
  <si>
    <t>US-SD-CO</t>
  </si>
  <si>
    <t>US-SD-TR</t>
  </si>
  <si>
    <t>ES-CO</t>
  </si>
  <si>
    <t>CH-CO</t>
  </si>
  <si>
    <t>CH-TR</t>
  </si>
  <si>
    <t>UK-CO</t>
  </si>
  <si>
    <t>UK-TR</t>
  </si>
  <si>
    <t>UK-PA</t>
  </si>
  <si>
    <t>UY-CO</t>
  </si>
  <si>
    <t>UY-TR</t>
  </si>
  <si>
    <t>ZA-CO</t>
  </si>
  <si>
    <t>VN-CO</t>
  </si>
  <si>
    <t>Entity Sub Type Code</t>
  </si>
  <si>
    <t>Argentina Fideicomiso de Garantia</t>
  </si>
  <si>
    <t>AR-TR-Argentina Fideicomiso de Garantia</t>
  </si>
  <si>
    <t>CW-FO-Curacao Foundation (Stichting)</t>
  </si>
  <si>
    <t>CW-FO-Curacao STAK</t>
  </si>
  <si>
    <t>MX-TR-Mexico Fideicomiso de Garantia</t>
  </si>
  <si>
    <t>NL-FO-Netherlands STAK</t>
  </si>
  <si>
    <t>CH-TR-Switzerland UK Trust with Swiss Trustee</t>
  </si>
  <si>
    <t>Switzerland Trust with Swiss Trustee</t>
  </si>
  <si>
    <t>Netherlands Foundation (StAK)</t>
  </si>
  <si>
    <t>Mexico Fideicomiso de Garantia</t>
  </si>
  <si>
    <t>Curacao Stichting</t>
  </si>
  <si>
    <t>Curacao Foundation (StAK)</t>
  </si>
  <si>
    <t>BS-CO-Bahamas IBC</t>
  </si>
  <si>
    <t>BS-TR-Bahamas Trust</t>
  </si>
  <si>
    <t>AR-TR-Argentina Trust</t>
  </si>
  <si>
    <t>AD-CO-Abu Dhabi ADGM SPV</t>
  </si>
  <si>
    <t>AD-CO-Abu Dhabi ADGM - Private Limited Company</t>
  </si>
  <si>
    <t xml:space="preserve">AD-CO-Abu Dhabi ADGM -  Foundation </t>
  </si>
  <si>
    <t>BVI-CO-British Virgin Islands BVIBC</t>
  </si>
  <si>
    <t>BVI-CO-British Virgin Islands SPC</t>
  </si>
  <si>
    <t>BVI-TR-British Virgin Islands Vista Trust</t>
  </si>
  <si>
    <t>BVI-TR-British Virgin Islands Trust</t>
  </si>
  <si>
    <t>BB-CO-Barbados Domestic</t>
  </si>
  <si>
    <t>BB-CO-Barbados SRL</t>
  </si>
  <si>
    <t>BB-CO-Barbados SCC</t>
  </si>
  <si>
    <t>BB-TR-Barbados Trust with Swiss Trustee</t>
  </si>
  <si>
    <t>BB-CO-Barbados External Company</t>
  </si>
  <si>
    <t>CA-PA-Canada LP</t>
  </si>
  <si>
    <t>KY-CO-Cayman Islands EXEMPT</t>
  </si>
  <si>
    <t>KY-CO-Cayman Islands EXEMPT LP</t>
  </si>
  <si>
    <t>KY-CO-Cayman Islands Ordinary Non-Resident</t>
  </si>
  <si>
    <t>KY-CO-Cayman Islands SPC</t>
  </si>
  <si>
    <t>KY-CO-Cayman Islands LLC</t>
  </si>
  <si>
    <t>KY-TR-Cayman Islands Trust</t>
  </si>
  <si>
    <t>KY-TR-Cayman Islands Star Trust</t>
  </si>
  <si>
    <t>CL-CO-Chile SA</t>
  </si>
  <si>
    <t>CL-CO-Chile SPA</t>
  </si>
  <si>
    <t>CL-CO-Chile SRL</t>
  </si>
  <si>
    <t>CL-TR-Chile Trust</t>
  </si>
  <si>
    <t>CN-CO-China WFOE</t>
  </si>
  <si>
    <t>CN-CO-China Rep Office</t>
  </si>
  <si>
    <t>CW-CO-Curacao BV</t>
  </si>
  <si>
    <t>CW-CO-Curacao NV</t>
  </si>
  <si>
    <t>CW-FO-Curacao SPF</t>
  </si>
  <si>
    <t>CY-CO-Cyprus Ltd</t>
  </si>
  <si>
    <t>CY-TR-Cyprus Trust</t>
  </si>
  <si>
    <t>US-DE-CO-Delaware LLC multi-member Non-US Manager</t>
  </si>
  <si>
    <t>US-DE-CO-Delaware LLC multi-member US Manager</t>
  </si>
  <si>
    <t>US-DE-CO-Delaware LLC single-member US Manager</t>
  </si>
  <si>
    <t>US-DE-CO-Delaware LLC single-member Non-US Manager</t>
  </si>
  <si>
    <t>US-DE-CO-Delaware C Corp</t>
  </si>
  <si>
    <t>US-FL-CO-Florida LLC multi-member Non-US Manager</t>
  </si>
  <si>
    <t>US-FL-CO-Florida LLC multi-member US Manager</t>
  </si>
  <si>
    <t>US-FL-CO-Florida LLC single-member US Manager</t>
  </si>
  <si>
    <t>US-FL-CO-Florida LLC single-member Non-US Manager</t>
  </si>
  <si>
    <t>US-FL-CO-Florida C Corp</t>
  </si>
  <si>
    <t>DE-CO-Germany GmbH</t>
  </si>
  <si>
    <t>DE-CO-Germany AG</t>
  </si>
  <si>
    <t>HK-CO-Hong Kong Ltd</t>
  </si>
  <si>
    <t>IN-CO-India Private Limited</t>
  </si>
  <si>
    <t>IN-TR-India Trust</t>
  </si>
  <si>
    <t>IN-TR-India AIF Trust</t>
  </si>
  <si>
    <t>IN-CO-India GIFT City PLC (FME)</t>
  </si>
  <si>
    <t>IN-CO-India Liaison Office</t>
  </si>
  <si>
    <t>IN-TR-India Will</t>
  </si>
  <si>
    <t>IE-CO-Ireland Ltd</t>
  </si>
  <si>
    <t>LT-CO-Lithuania UAB</t>
  </si>
  <si>
    <t>LU-CO-Luxembourg SA</t>
  </si>
  <si>
    <t>LU-CO-Luxembourg Sarl</t>
  </si>
  <si>
    <t>LU-CO-Luxembourg SCA</t>
  </si>
  <si>
    <t>LU-CO-Luxembourg SCSP</t>
  </si>
  <si>
    <t>MT-CO-Malta Ltd</t>
  </si>
  <si>
    <t>MT-TR-Malta Trust</t>
  </si>
  <si>
    <t>MU-CO-Mauritius GBLC</t>
  </si>
  <si>
    <t>MU-CO-Mauritius Authorised company</t>
  </si>
  <si>
    <t>MU-CO-Mauritius Domestic</t>
  </si>
  <si>
    <t>MU-TR-Mauritius Trust</t>
  </si>
  <si>
    <t>MU-FO-Mauritius Foundation</t>
  </si>
  <si>
    <t>MX-CO-Mexico SA</t>
  </si>
  <si>
    <t>NL-CO-Netherlands BV</t>
  </si>
  <si>
    <t>NL-CO-Netherlands NV</t>
  </si>
  <si>
    <t>NL-PA-Netherlands CV</t>
  </si>
  <si>
    <t>NL-CO-Netherlands Cooperatie UA</t>
  </si>
  <si>
    <t>KN-CO-Nevis IBC</t>
  </si>
  <si>
    <t>NZ-CO-New Zealand NZ Ltd as PTC</t>
  </si>
  <si>
    <t>NZ-CO-New Zealand NZ Ltd as GP</t>
  </si>
  <si>
    <t>NZ-TR-New Zealand Foreign Trust</t>
  </si>
  <si>
    <t>NZ-PA-New Zealand Limited Partnership</t>
  </si>
  <si>
    <t>PA-CO-Panama SA</t>
  </si>
  <si>
    <t>PA-FO-Panama Foundation</t>
  </si>
  <si>
    <t>PH-CO-Phillipines Inc</t>
  </si>
  <si>
    <t>SA-CO-Saudi Arabia LLC</t>
  </si>
  <si>
    <t>SG-CO-Singapore Pte. Ltd</t>
  </si>
  <si>
    <t>SG-CO-Singapore PTC</t>
  </si>
  <si>
    <t>SG-PA-Singapore LLP</t>
  </si>
  <si>
    <t>SG-TR-Singapore Trust</t>
  </si>
  <si>
    <t>SG-TR-Singapore Escrow Agent</t>
  </si>
  <si>
    <t>US-SD-CO-South Dakota LLC single-member Non-US Manager</t>
  </si>
  <si>
    <t>US-SD-CO-South Dakota LLC multi-member Non-US Manager</t>
  </si>
  <si>
    <t>US-SD-CO-South Dakota LLC multi-member US Manager</t>
  </si>
  <si>
    <t>US-SD-CO-South Dakota LLC single-member US Manager</t>
  </si>
  <si>
    <t>US-SD-TR-South Dakota Delegated Trust</t>
  </si>
  <si>
    <t>US-SD-TR-South Dakota Directed Trust</t>
  </si>
  <si>
    <t>US-SD-TR-South Dakota Discretionary Trust</t>
  </si>
  <si>
    <t xml:space="preserve">ES-CO-Spain SL </t>
  </si>
  <si>
    <t>ES-CO-Spain SL under the ETVE regime</t>
  </si>
  <si>
    <t>CH-CO-Switzerland Branch</t>
  </si>
  <si>
    <t>CH-CO-Switzerland AG</t>
  </si>
  <si>
    <t>CH-CO-Switzerland GmbH</t>
  </si>
  <si>
    <t>CH-TR-Switzerland Trust with Swiss Trustee (Split Trust)</t>
  </si>
  <si>
    <t>UK-CO-United Kingdom Ltd</t>
  </si>
  <si>
    <t>UK-TR-United Kingdom Trust with Swiss Trustee</t>
  </si>
  <si>
    <t>UK-PA-United Kingdom LLP</t>
  </si>
  <si>
    <t>UY-CO-Uruguay SAU</t>
  </si>
  <si>
    <t>UY-CO-Uruguay SAU art 47</t>
  </si>
  <si>
    <t>UY-CO-Uruguay SA</t>
  </si>
  <si>
    <t>UY-CO-Uruguay SRL</t>
  </si>
  <si>
    <t>UY-TR-Uruguay Fideicomiso</t>
  </si>
  <si>
    <t>ZA-CO-South Africa Pty Ltd</t>
  </si>
  <si>
    <t>VN-CO-Vietnam Ltd</t>
  </si>
  <si>
    <t>Fund Products (Service Type = Fund)</t>
  </si>
  <si>
    <t>Recurring Annual</t>
  </si>
  <si>
    <t>Service</t>
  </si>
  <si>
    <t>Fee Type</t>
  </si>
  <si>
    <t>Type (M/O)</t>
  </si>
  <si>
    <t>One Time</t>
  </si>
  <si>
    <t>DocumentName</t>
  </si>
  <si>
    <t>SortOrder</t>
  </si>
  <si>
    <t>Fee</t>
  </si>
  <si>
    <t>DocDisplayName</t>
  </si>
  <si>
    <t>ABT_FeeSchedules_GeneralTerms</t>
  </si>
  <si>
    <t>Bank Account Opening Form</t>
  </si>
  <si>
    <t>ServiceAgreementForFund</t>
  </si>
  <si>
    <t>Service Agreement</t>
  </si>
  <si>
    <t>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</si>
</sst>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charset val="1"/>
    </font>
    <font>
      <b/>
      <sz val="13"/>
      <color rgb="FF1F3864"/>
      <name val="Arial"/>
      <family val="2"/>
      <charset val="1"/>
    </font>
    <font>
      <i/>
      <sz val="8"/>
      <color rgb="FF595959"/>
      <name val="Arial"/>
      <family val="2"/>
      <charset val="1"/>
    </font>
    <font>
      <b/>
      <sz val="9"/>
      <color rgb="FFFFFFFF"/>
      <name val="Arial"/>
      <family val="2"/>
      <charset val="1"/>
    </font>
    <font>
      <b/>
      <sz val="8"/>
      <color theme="0"/>
      <name val="Arial"/>
      <family val="2"/>
      <charset val="1"/>
    </font>
    <font>
      <b/>
      <sz val="8"/>
      <color rgb="FFFFFFFF"/>
      <name val="Arial"/>
      <family val="2"/>
      <charset val="1"/>
    </font>
    <font>
      <b/>
      <sz val="10"/>
      <color rgb="FFFFFFFF"/>
      <name val="Arial"/>
      <family val="2"/>
      <charset val="1"/>
    </font>
    <font>
      <sz val="9"/>
      <name val="Arial"/>
      <family val="2"/>
      <charset val="1"/>
    </font>
    <font>
      <sz val="8"/>
      <color rgb="FF5D3A00"/>
      <name val="Arial"/>
      <family val="2"/>
      <charset val="1"/>
    </font>
    <font>
      <sz val="8"/>
      <color rgb="FF4B0082"/>
      <name val="Arial"/>
      <family val="2"/>
      <charset val="1"/>
    </font>
    <font>
      <b/>
      <sz val="9"/>
      <name val="Arial"/>
      <charset val="1"/>
    </font>
    <font>
      <b/>
      <sz val="9"/>
      <color rgb="FF375623"/>
      <name val="Arial"/>
      <family val="2"/>
      <charset val="1"/>
    </font>
    <font>
      <b/>
      <sz val="9"/>
      <color rgb="FF17375E"/>
      <name val="Arial"/>
      <family val="2"/>
      <charset val="1"/>
    </font>
    <font>
      <sz val="9"/>
      <color rgb="FFBFBFBF"/>
      <name val="Arial"/>
      <family val="2"/>
      <charset val="1"/>
    </font>
    <font>
      <sz val="8"/>
      <color rgb="FF154360"/>
      <name val="Arial"/>
      <family val="2"/>
      <charset val="1"/>
    </font>
    <font>
      <i/>
      <sz val="9"/>
      <color rgb="FF595959"/>
      <name val="Arial"/>
      <family val="2"/>
      <charset val="1"/>
    </font>
    <font>
      <sz val="9"/>
      <color rgb="FF595959"/>
      <name val="Arial"/>
      <family val="2"/>
      <charset val="1"/>
    </font>
    <font>
      <i/>
      <sz val="9"/>
      <color rgb="FF7F7F7F"/>
      <name val="Arial"/>
      <family val="2"/>
      <charset val="1"/>
    </font>
    <font>
      <sz val="9"/>
      <color theme="1" tint="4.9897762993255407E-2"/>
      <name val="Arial"/>
      <family val="2"/>
      <charset val="1"/>
    </font>
    <font>
      <sz val="8"/>
      <color theme="1" tint="4.9897762993255407E-2"/>
      <name val="Arial"/>
      <family val="2"/>
      <charset val="1"/>
    </font>
    <font>
      <sz val="8"/>
      <color theme="1" tint="4.9897762993255407E-2"/>
      <name val="Arial"/>
      <charset val="1"/>
    </font>
    <font>
      <sz val="9"/>
      <color theme="1" tint="4.9897762993255407E-2"/>
      <name val="Arial"/>
      <charset val="1"/>
    </font>
    <font>
      <sz val="11"/>
      <color theme="1" tint="4.9897762993255407E-2"/>
      <name val="Calibri"/>
      <family val="2"/>
      <charset val="1"/>
    </font>
    <font>
      <strike/>
      <sz val="8"/>
      <color theme="1" tint="4.9897762993255407E-2"/>
      <name val="Arial"/>
      <family val="2"/>
      <charset val="1"/>
    </font>
    <font>
      <i/>
      <sz val="9"/>
      <color theme="1" tint="4.9897762993255407E-2"/>
      <name val="Arial"/>
      <family val="2"/>
      <charset val="1"/>
    </font>
    <font>
      <i/>
      <sz val="9"/>
      <color theme="1" tint="4.9897762993255407E-2"/>
      <name val="Arial"/>
      <charset val="1"/>
    </font>
    <font>
      <sz val="8"/>
      <color rgb="FF5C3317"/>
      <name val="Arial"/>
      <family val="2"/>
      <charset val="1"/>
    </font>
    <font>
      <sz val="11"/>
      <color rgb="FF000000"/>
      <name val="Calibri"/>
      <family val="2"/>
      <charset val="1"/>
    </font>
    <font>
      <strike/>
      <sz val="8"/>
      <color rgb="FF5D3A00"/>
      <name val="Arial"/>
      <family val="2"/>
      <charset val="1"/>
    </font>
    <font>
      <b/>
      <strike/>
      <sz val="9"/>
      <color rgb="FF17375E"/>
      <name val="Arial"/>
      <family val="2"/>
      <charset val="1"/>
    </font>
    <font>
      <b/>
      <sz val="9"/>
      <color rgb="FFFF0000"/>
      <name val="Arial"/>
      <family val="2"/>
      <charset val="1"/>
    </font>
    <font>
      <strike/>
      <sz val="9"/>
      <name val="Arial"/>
      <family val="2"/>
      <charset val="1"/>
    </font>
    <font>
      <strike/>
      <sz val="8"/>
      <color rgb="FF4B0082"/>
      <name val="Arial"/>
      <family val="2"/>
      <charset val="1"/>
    </font>
    <font>
      <strike/>
      <sz val="8"/>
      <color rgb="FF154360"/>
      <name val="Arial"/>
      <family val="2"/>
      <charset val="1"/>
    </font>
    <font>
      <i/>
      <strike/>
      <sz val="9"/>
      <color rgb="FF595959"/>
      <name val="Arial"/>
      <family val="2"/>
      <charset val="1"/>
    </font>
    <font>
      <strike/>
      <sz val="11"/>
      <color theme="1"/>
      <name val="Calibri"/>
      <family val="2"/>
      <charset val="1"/>
    </font>
    <font>
      <strike/>
      <sz val="9"/>
      <color rgb="FFBFBFBF"/>
      <name val="Arial"/>
      <family val="2"/>
      <charset val="1"/>
    </font>
    <font>
      <sz val="9"/>
      <color rgb="FF000000"/>
      <name val="Arial"/>
      <family val="2"/>
      <charset val="1"/>
    </font>
    <font>
      <b/>
      <strike/>
      <sz val="9"/>
      <color rgb="FF375623"/>
      <name val="Arial"/>
      <family val="2"/>
      <charset val="1"/>
    </font>
    <font>
      <sz val="10"/>
      <name val="Arial"/>
      <family val="2"/>
    </font>
    <font>
      <b/>
      <sz val="11"/>
      <color theme="1"/>
      <name val="Calibri"/>
      <family val="2"/>
    </font>
    <font>
      <i/>
      <sz val="10"/>
      <name val="Arial"/>
      <family val="2"/>
    </font>
    <font>
      <b/>
      <sz val="11"/>
      <color theme="1"/>
      <name val="Calibri"/>
      <family val="2"/>
      <charset val="1"/>
    </font>
    <font>
      <b/>
      <sz val="12"/>
      <color theme="1"/>
      <name val="Calibri"/>
      <family val="2"/>
      <charset val="1"/>
    </font>
  </fonts>
  <fills count="30">
    <fill>
      <patternFill patternType="none"/>
    </fill>
    <fill>
      <patternFill patternType="gray125"/>
    </fill>
    <fill>
      <patternFill patternType="solid">
        <fgColor rgb="FFEBF3FB"/>
        <bgColor rgb="FFEAF2F8"/>
      </patternFill>
    </fill>
    <fill>
      <patternFill patternType="solid">
        <fgColor rgb="FF1F3864"/>
        <bgColor rgb="FF17375E"/>
      </patternFill>
    </fill>
    <fill>
      <patternFill patternType="solid">
        <fgColor rgb="FF8B4513"/>
        <bgColor rgb="FF7B3F00"/>
      </patternFill>
    </fill>
    <fill>
      <patternFill patternType="solid">
        <fgColor rgb="FF4B0082"/>
        <bgColor rgb="FF6A0DAD"/>
      </patternFill>
    </fill>
    <fill>
      <patternFill patternType="solid">
        <fgColor rgb="FF17375E"/>
        <bgColor rgb="FF1F3864"/>
      </patternFill>
    </fill>
    <fill>
      <patternFill patternType="solid">
        <fgColor rgb="FF2E75B6"/>
        <bgColor rgb="FF008080"/>
      </patternFill>
    </fill>
    <fill>
      <patternFill patternType="solid">
        <fgColor rgb="FF375623"/>
        <bgColor rgb="FF2C3E50"/>
      </patternFill>
    </fill>
    <fill>
      <patternFill patternType="solid">
        <fgColor theme="9" tint="-0.249977111117893"/>
        <bgColor rgb="FFFF9900"/>
      </patternFill>
    </fill>
    <fill>
      <patternFill patternType="solid">
        <fgColor rgb="FF154360"/>
        <bgColor rgb="FF17375E"/>
      </patternFill>
    </fill>
    <fill>
      <patternFill patternType="solid">
        <fgColor rgb="FF7B3F00"/>
        <bgColor rgb="FF8B4513"/>
      </patternFill>
    </fill>
    <fill>
      <patternFill patternType="solid">
        <fgColor rgb="FFC0392B"/>
        <bgColor rgb="FF8B4513"/>
      </patternFill>
    </fill>
    <fill>
      <patternFill patternType="solid">
        <fgColor rgb="FF16A085"/>
        <bgColor rgb="FF008080"/>
      </patternFill>
    </fill>
    <fill>
      <patternFill patternType="solid">
        <fgColor rgb="FF2C3E50"/>
        <bgColor rgb="FF1F3864"/>
      </patternFill>
    </fill>
    <fill>
      <patternFill patternType="solid">
        <fgColor rgb="FF6A0DAD"/>
        <bgColor rgb="FF800080"/>
      </patternFill>
    </fill>
    <fill>
      <patternFill patternType="solid">
        <fgColor rgb="FFDEEAF1"/>
        <bgColor rgb="FFD9E2F3"/>
      </patternFill>
    </fill>
    <fill>
      <patternFill patternType="solid">
        <fgColor rgb="FFFFF9F0"/>
        <bgColor rgb="FFFEF5E7"/>
      </patternFill>
    </fill>
    <fill>
      <patternFill patternType="solid">
        <fgColor rgb="FFF0E6FF"/>
        <bgColor rgb="FFF0F0F0"/>
      </patternFill>
    </fill>
    <fill>
      <patternFill patternType="solid">
        <fgColor rgb="FFE2EFDA"/>
        <bgColor rgb="FFD9EAD3"/>
      </patternFill>
    </fill>
    <fill>
      <patternFill patternType="solid">
        <fgColor rgb="FFD9EAD3"/>
        <bgColor rgb="FFE2EFDA"/>
      </patternFill>
    </fill>
    <fill>
      <patternFill patternType="solid">
        <fgColor rgb="FFEAF2F8"/>
        <bgColor rgb="FFEBF3FB"/>
      </patternFill>
    </fill>
    <fill>
      <patternFill patternType="solid">
        <fgColor rgb="FFFEF5E7"/>
        <bgColor rgb="FFFFF9F0"/>
      </patternFill>
    </fill>
    <fill>
      <patternFill patternType="solid">
        <fgColor rgb="FFF8F8F8"/>
        <bgColor rgb="FFF2F7FB"/>
      </patternFill>
    </fill>
    <fill>
      <patternFill patternType="solid">
        <fgColor rgb="FFF0F0F0"/>
        <bgColor rgb="FFEAF2F8"/>
      </patternFill>
    </fill>
    <fill>
      <patternFill patternType="solid">
        <fgColor rgb="FFF2F7FB"/>
        <bgColor rgb="FFF8F8F8"/>
      </patternFill>
    </fill>
    <fill>
      <patternFill patternType="solid">
        <fgColor rgb="FFFFFF00"/>
        <bgColor rgb="FF99CC00"/>
      </patternFill>
    </fill>
    <fill>
      <patternFill patternType="solid">
        <fgColor rgb="FFFFFF00"/>
        <bgColor indexed="64"/>
      </patternFill>
    </fill>
    <fill>
      <patternFill patternType="solid">
        <fgColor rgb="FFFF0000"/>
        <bgColor indexed="64"/>
      </patternFill>
    </fill>
    <fill>
      <patternFill patternType="solid">
        <fgColor rgb="FFD9E1F2"/>
        <bgColor indexed="64"/>
      </patternFill>
    </fill>
  </fills>
  <borders count="13">
    <border>
      <left/>
      <right/>
      <top/>
      <bottom/>
      <diagonal/>
    </border>
    <border>
      <left/>
      <right/>
      <top/>
      <bottom style="thin">
        <color rgb="FFC9C9C9"/>
      </bottom>
      <diagonal/>
    </border>
    <border>
      <left style="thin">
        <color rgb="FFC9C9C9"/>
      </left>
      <right style="thin">
        <color rgb="FFC9C9C9"/>
      </right>
      <top style="thin">
        <color rgb="FFC9C9C9"/>
      </top>
      <bottom style="thin">
        <color rgb="FFC9C9C9"/>
      </bottom>
      <diagonal/>
    </border>
    <border>
      <left/>
      <right style="thin">
        <color rgb="FFC9C9C9"/>
      </right>
      <top style="thin">
        <color rgb="FFC9C9C9"/>
      </top>
      <bottom style="thin">
        <color rgb="FFC9C9C9"/>
      </bottom>
      <diagonal/>
    </border>
    <border>
      <left style="thin">
        <color rgb="FFC9C9C9"/>
      </left>
      <right style="thin">
        <color rgb="FFC9C9C9"/>
      </right>
      <top/>
      <bottom/>
      <diagonal/>
    </border>
    <border>
      <left/>
      <right style="thin">
        <color rgb="FFC9C9C9"/>
      </right>
      <top/>
      <bottom style="thin">
        <color rgb="FFC9C9C9"/>
      </bottom>
      <diagonal/>
    </border>
    <border>
      <left style="thin">
        <color rgb="FFC9C9C9"/>
      </left>
      <right style="thin">
        <color rgb="FFC9C9C9"/>
      </right>
      <top/>
      <bottom style="thin">
        <color rgb="FFC9C9C9"/>
      </bottom>
      <diagonal/>
    </border>
    <border>
      <left style="thin">
        <color rgb="FFC9C9C9"/>
      </left>
      <right/>
      <top style="thin">
        <color rgb="FFC9C9C9"/>
      </top>
      <bottom style="thin">
        <color rgb="FFC9C9C9"/>
      </bottom>
      <diagonal/>
    </border>
    <border>
      <left/>
      <right/>
      <top style="thin">
        <color rgb="FFC9C9C9"/>
      </top>
      <bottom style="thin">
        <color rgb="FFC9C9C9"/>
      </bottom>
      <diagonal/>
    </border>
    <border>
      <left style="thin">
        <color rgb="FFC9C9C9"/>
      </left>
      <right/>
      <top/>
      <bottom style="thin">
        <color rgb="FFC9C9C9"/>
      </bottom>
      <diagonal/>
    </border>
    <border>
      <left/>
      <right style="thin">
        <color rgb="FFC9C9C9"/>
      </right>
      <top style="thin">
        <color rgb="FFC9C9C9"/>
      </top>
      <bottom/>
      <diagonal/>
    </border>
    <border>
      <left style="thin">
        <color rgb="FFC9C9C9"/>
      </left>
      <right style="thin">
        <color rgb="FFC9C9C9"/>
      </right>
      <top style="thin">
        <color rgb="FFC9C9C9"/>
      </top>
      <bottom/>
      <diagonal/>
    </border>
    <border>
      <left style="thin">
        <color rgb="FFC9C9C9"/>
      </left>
      <right/>
      <top style="thin">
        <color rgb="FFC9C9C9"/>
      </top>
      <bottom/>
      <diagonal/>
    </border>
  </borders>
  <cellStyleXfs count="1">
    <xf numFmtId="0" fontId="0" fillId="0" borderId="0"/>
  </cellStyleXfs>
  <cellXfs count="193">
    <xf numFmtId="0" fontId="0" fillId="0" borderId="0" xfId="0"/>
    <xf numFmtId="0" fontId="3" fillId="10" borderId="2" xfId="0" applyFont="1" applyFill="1" applyBorder="1" applyAlignment="1">
      <alignment horizontal="center" vertical="center" wrapText="1"/>
    </xf>
    <xf numFmtId="0" fontId="0" fillId="0" borderId="3" xfId="0" applyBorder="1"/>
    <xf numFmtId="0" fontId="4" fillId="9"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1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2" xfId="0" applyFont="1" applyFill="1" applyBorder="1" applyAlignment="1">
      <alignment horizontal="left" vertical="center" wrapText="1"/>
    </xf>
    <xf numFmtId="0" fontId="8" fillId="17" borderId="2" xfId="0" applyFont="1" applyFill="1" applyBorder="1" applyAlignment="1">
      <alignment horizontal="left" vertical="top" wrapText="1"/>
    </xf>
    <xf numFmtId="0" fontId="9" fillId="18" borderId="2" xfId="0" applyFont="1" applyFill="1" applyBorder="1" applyAlignment="1">
      <alignment horizontal="left" vertical="top" wrapText="1"/>
    </xf>
    <xf numFmtId="3" fontId="10" fillId="16" borderId="2" xfId="0" applyNumberFormat="1" applyFont="1" applyFill="1" applyBorder="1" applyAlignment="1">
      <alignment horizontal="center" vertical="center" wrapText="1"/>
    </xf>
    <xf numFmtId="0" fontId="11" fillId="19" borderId="2" xfId="0" applyFont="1" applyFill="1" applyBorder="1" applyAlignment="1">
      <alignment horizontal="center" vertical="center"/>
    </xf>
    <xf numFmtId="0" fontId="12" fillId="16" borderId="2" xfId="0" applyFont="1" applyFill="1" applyBorder="1" applyAlignment="1">
      <alignment horizontal="center" vertical="center" wrapText="1"/>
    </xf>
    <xf numFmtId="0" fontId="11" fillId="0" borderId="0" xfId="0" applyFont="1" applyAlignment="1">
      <alignment horizontal="center" vertical="center"/>
    </xf>
    <xf numFmtId="3" fontId="10" fillId="20" borderId="2" xfId="0" applyNumberFormat="1"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3" fillId="16" borderId="2" xfId="0" applyFont="1" applyFill="1" applyBorder="1" applyAlignment="1">
      <alignment horizontal="center" vertical="center" wrapText="1"/>
    </xf>
    <xf numFmtId="0" fontId="11" fillId="16" borderId="2" xfId="0" applyFont="1" applyFill="1" applyBorder="1" applyAlignment="1">
      <alignment horizontal="center" vertical="center"/>
    </xf>
    <xf numFmtId="3" fontId="10" fillId="21" borderId="2" xfId="0" applyNumberFormat="1" applyFont="1" applyFill="1" applyBorder="1" applyAlignment="1">
      <alignment horizontal="center" vertical="center" wrapText="1"/>
    </xf>
    <xf numFmtId="0" fontId="10" fillId="21" borderId="2" xfId="0" applyFont="1" applyFill="1" applyBorder="1" applyAlignment="1">
      <alignment horizontal="center" vertical="center" wrapText="1"/>
    </xf>
    <xf numFmtId="0" fontId="14" fillId="21" borderId="2" xfId="0" applyFont="1" applyFill="1" applyBorder="1" applyAlignment="1">
      <alignment horizontal="left" vertical="top" wrapText="1"/>
    </xf>
    <xf numFmtId="0" fontId="10" fillId="22" borderId="2" xfId="0" applyFont="1" applyFill="1" applyBorder="1" applyAlignment="1">
      <alignment horizontal="center" vertical="center" wrapText="1"/>
    </xf>
    <xf numFmtId="3" fontId="10" fillId="0" borderId="0" xfId="0" applyNumberFormat="1" applyFont="1" applyAlignment="1">
      <alignment horizontal="center" vertical="center" wrapText="1"/>
    </xf>
    <xf numFmtId="0" fontId="15" fillId="23" borderId="2" xfId="0" applyFont="1" applyFill="1" applyBorder="1" applyAlignment="1">
      <alignment horizontal="center" vertical="center" wrapText="1"/>
    </xf>
    <xf numFmtId="0" fontId="15" fillId="23" borderId="2" xfId="0" applyFont="1" applyFill="1" applyBorder="1" applyAlignment="1">
      <alignment horizontal="left" vertical="center" wrapText="1"/>
    </xf>
    <xf numFmtId="3" fontId="10" fillId="23" borderId="2" xfId="0" applyNumberFormat="1" applyFont="1" applyFill="1" applyBorder="1" applyAlignment="1">
      <alignment horizontal="center" vertical="center" wrapText="1"/>
    </xf>
    <xf numFmtId="0" fontId="16" fillId="23" borderId="2" xfId="0" applyFont="1" applyFill="1" applyBorder="1" applyAlignment="1">
      <alignment horizontal="center" vertical="center" wrapText="1"/>
    </xf>
    <xf numFmtId="0" fontId="10" fillId="23" borderId="2" xfId="0" applyFont="1" applyFill="1" applyBorder="1" applyAlignment="1">
      <alignment horizontal="center" vertical="center" wrapText="1"/>
    </xf>
    <xf numFmtId="0" fontId="17" fillId="23" borderId="2" xfId="0" applyFont="1" applyFill="1" applyBorder="1" applyAlignment="1">
      <alignment horizontal="center" vertical="center" wrapText="1"/>
    </xf>
    <xf numFmtId="0" fontId="11" fillId="23" borderId="2" xfId="0" applyFont="1" applyFill="1" applyBorder="1" applyAlignment="1">
      <alignment horizontal="center" vertical="center"/>
    </xf>
    <xf numFmtId="0" fontId="15" fillId="24" borderId="2" xfId="0" applyFont="1" applyFill="1" applyBorder="1" applyAlignment="1">
      <alignment horizontal="center" vertical="center" wrapText="1"/>
    </xf>
    <xf numFmtId="0" fontId="15" fillId="24" borderId="2" xfId="0" applyFont="1" applyFill="1" applyBorder="1" applyAlignment="1">
      <alignment horizontal="left" vertical="center" wrapText="1"/>
    </xf>
    <xf numFmtId="0" fontId="16" fillId="24" borderId="2" xfId="0" applyFont="1" applyFill="1" applyBorder="1" applyAlignment="1">
      <alignment horizontal="center" vertical="center" wrapText="1"/>
    </xf>
    <xf numFmtId="0" fontId="10" fillId="24" borderId="2" xfId="0" applyFont="1" applyFill="1" applyBorder="1" applyAlignment="1">
      <alignment horizontal="center" vertical="center" wrapText="1"/>
    </xf>
    <xf numFmtId="0" fontId="17" fillId="24" borderId="2" xfId="0" applyFont="1" applyFill="1" applyBorder="1" applyAlignment="1">
      <alignment horizontal="center" vertical="center" wrapText="1"/>
    </xf>
    <xf numFmtId="3" fontId="10" fillId="24" borderId="2" xfId="0" applyNumberFormat="1" applyFont="1" applyFill="1" applyBorder="1" applyAlignment="1">
      <alignment horizontal="center" vertical="center" wrapText="1"/>
    </xf>
    <xf numFmtId="0" fontId="11" fillId="24" borderId="2" xfId="0" applyFont="1" applyFill="1" applyBorder="1" applyAlignment="1">
      <alignment horizontal="center" vertical="center"/>
    </xf>
    <xf numFmtId="0" fontId="18" fillId="25" borderId="2" xfId="0" applyFont="1" applyFill="1" applyBorder="1" applyAlignment="1">
      <alignment horizontal="center" vertical="center" wrapText="1"/>
    </xf>
    <xf numFmtId="0" fontId="18" fillId="16" borderId="2" xfId="0" applyFont="1" applyFill="1" applyBorder="1" applyAlignment="1">
      <alignment horizontal="center" vertical="center" wrapText="1"/>
    </xf>
    <xf numFmtId="0" fontId="18" fillId="25" borderId="2" xfId="0" applyFont="1" applyFill="1" applyBorder="1" applyAlignment="1">
      <alignment horizontal="left" vertical="center" wrapText="1"/>
    </xf>
    <xf numFmtId="0" fontId="19" fillId="17" borderId="2" xfId="0" applyFont="1" applyFill="1" applyBorder="1" applyAlignment="1">
      <alignment horizontal="left" vertical="top" wrapText="1"/>
    </xf>
    <xf numFmtId="0" fontId="20" fillId="17" borderId="2" xfId="0" applyFont="1" applyFill="1" applyBorder="1" applyAlignment="1">
      <alignment horizontal="left" vertical="top" wrapText="1"/>
    </xf>
    <xf numFmtId="0" fontId="20" fillId="0" borderId="2" xfId="0" applyFont="1" applyBorder="1" applyAlignment="1">
      <alignment horizontal="left" vertical="top" wrapText="1"/>
    </xf>
    <xf numFmtId="0" fontId="19" fillId="18" borderId="2" xfId="0" applyFont="1" applyFill="1" applyBorder="1" applyAlignment="1">
      <alignment horizontal="left" vertical="top" wrapText="1"/>
    </xf>
    <xf numFmtId="3" fontId="10" fillId="18" borderId="2" xfId="0" applyNumberFormat="1" applyFont="1" applyFill="1" applyBorder="1" applyAlignment="1">
      <alignment horizontal="center" vertical="center" wrapText="1"/>
    </xf>
    <xf numFmtId="0" fontId="18" fillId="19" borderId="2" xfId="0" applyFont="1" applyFill="1" applyBorder="1" applyAlignment="1">
      <alignment horizontal="center" vertical="center"/>
    </xf>
    <xf numFmtId="0" fontId="10" fillId="25" borderId="2" xfId="0" applyFont="1" applyFill="1" applyBorder="1" applyAlignment="1">
      <alignment horizontal="center" vertical="center" wrapText="1"/>
    </xf>
    <xf numFmtId="0" fontId="10" fillId="0" borderId="0" xfId="0" applyFont="1" applyAlignment="1">
      <alignment horizontal="center" vertical="center" wrapText="1"/>
    </xf>
    <xf numFmtId="0" fontId="21" fillId="19" borderId="2" xfId="0" applyFont="1" applyFill="1" applyBorder="1" applyAlignment="1">
      <alignment horizontal="center" vertical="center"/>
    </xf>
    <xf numFmtId="3" fontId="10" fillId="25" borderId="2" xfId="0" applyNumberFormat="1" applyFont="1" applyFill="1" applyBorder="1" applyAlignment="1">
      <alignment horizontal="center" vertical="center" wrapText="1"/>
    </xf>
    <xf numFmtId="0" fontId="11" fillId="25" borderId="2" xfId="0" applyFont="1" applyFill="1" applyBorder="1" applyAlignment="1">
      <alignment horizontal="center" vertical="center"/>
    </xf>
    <xf numFmtId="0" fontId="19" fillId="21" borderId="2" xfId="0" applyFont="1" applyFill="1" applyBorder="1" applyAlignment="1">
      <alignment horizontal="left" vertical="top" wrapText="1"/>
    </xf>
    <xf numFmtId="0" fontId="22" fillId="0" borderId="0" xfId="0" applyFont="1"/>
    <xf numFmtId="0" fontId="18" fillId="16" borderId="2" xfId="0" applyFont="1" applyFill="1" applyBorder="1" applyAlignment="1">
      <alignment horizontal="left" vertical="center" wrapText="1"/>
    </xf>
    <xf numFmtId="0" fontId="23" fillId="17" borderId="2" xfId="0" applyFont="1" applyFill="1" applyBorder="1" applyAlignment="1">
      <alignment horizontal="left" vertical="top" wrapText="1"/>
    </xf>
    <xf numFmtId="0" fontId="20" fillId="18" borderId="2" xfId="0" applyFont="1" applyFill="1" applyBorder="1" applyAlignment="1">
      <alignment horizontal="left" vertical="top" wrapText="1"/>
    </xf>
    <xf numFmtId="0" fontId="24" fillId="23" borderId="2" xfId="0" applyFont="1" applyFill="1" applyBorder="1" applyAlignment="1">
      <alignment horizontal="center" vertical="center" wrapText="1"/>
    </xf>
    <xf numFmtId="0" fontId="25" fillId="23" borderId="2" xfId="0" applyFont="1" applyFill="1" applyBorder="1" applyAlignment="1">
      <alignment horizontal="left" vertical="center" wrapText="1"/>
    </xf>
    <xf numFmtId="0" fontId="23" fillId="0" borderId="2" xfId="0" applyFont="1" applyBorder="1" applyAlignment="1">
      <alignment horizontal="left" vertical="top" wrapText="1"/>
    </xf>
    <xf numFmtId="0" fontId="23" fillId="18" borderId="2" xfId="0" applyFont="1" applyFill="1" applyBorder="1" applyAlignment="1">
      <alignment horizontal="left" vertical="top" wrapText="1"/>
    </xf>
    <xf numFmtId="0" fontId="7" fillId="25" borderId="2" xfId="0" applyFont="1" applyFill="1" applyBorder="1" applyAlignment="1">
      <alignment horizontal="center" vertical="center" wrapText="1"/>
    </xf>
    <xf numFmtId="0" fontId="7" fillId="25" borderId="2" xfId="0" applyFont="1" applyFill="1" applyBorder="1" applyAlignment="1">
      <alignment horizontal="left" vertical="center" wrapText="1"/>
    </xf>
    <xf numFmtId="0" fontId="12" fillId="25" borderId="2" xfId="0" applyFont="1" applyFill="1" applyBorder="1" applyAlignment="1">
      <alignment horizontal="center" vertical="center" wrapText="1"/>
    </xf>
    <xf numFmtId="0" fontId="13" fillId="25" borderId="2" xfId="0" applyFont="1" applyFill="1" applyBorder="1" applyAlignment="1">
      <alignment horizontal="center" vertical="center" wrapText="1"/>
    </xf>
    <xf numFmtId="0" fontId="12" fillId="16" borderId="0" xfId="0" applyFont="1" applyFill="1" applyAlignment="1">
      <alignment horizontal="center" vertical="center" wrapText="1"/>
    </xf>
    <xf numFmtId="0" fontId="14" fillId="21" borderId="4" xfId="0" applyFont="1" applyFill="1" applyBorder="1" applyAlignment="1">
      <alignment horizontal="left" vertical="top" wrapText="1"/>
    </xf>
    <xf numFmtId="0" fontId="12" fillId="25" borderId="2" xfId="0" applyFont="1" applyFill="1" applyBorder="1" applyAlignment="1">
      <alignment horizontal="center" vertical="center"/>
    </xf>
    <xf numFmtId="0" fontId="10" fillId="19" borderId="2" xfId="0" applyFont="1" applyFill="1" applyBorder="1" applyAlignment="1">
      <alignment horizontal="center" vertical="center" wrapText="1"/>
    </xf>
    <xf numFmtId="0" fontId="17" fillId="24" borderId="0" xfId="0" applyFont="1" applyFill="1" applyAlignment="1">
      <alignment horizontal="center" vertical="center" wrapText="1"/>
    </xf>
    <xf numFmtId="0" fontId="0" fillId="0" borderId="0" xfId="0" applyAlignment="1">
      <alignment wrapText="1"/>
    </xf>
    <xf numFmtId="0" fontId="26" fillId="22" borderId="2" xfId="0" applyFont="1" applyFill="1" applyBorder="1" applyAlignment="1">
      <alignment horizontal="left" vertical="top" wrapText="1"/>
    </xf>
    <xf numFmtId="0" fontId="15" fillId="26" borderId="2" xfId="0" applyFont="1" applyFill="1" applyBorder="1" applyAlignment="1">
      <alignment horizontal="center" vertical="center" wrapText="1"/>
    </xf>
    <xf numFmtId="0" fontId="15" fillId="23" borderId="2" xfId="0" applyFont="1" applyFill="1" applyBorder="1" applyAlignment="1">
      <alignment wrapText="1"/>
    </xf>
    <xf numFmtId="0" fontId="7" fillId="16" borderId="3" xfId="0" applyFont="1" applyFill="1" applyBorder="1" applyAlignment="1">
      <alignment wrapText="1"/>
    </xf>
    <xf numFmtId="0" fontId="15" fillId="23" borderId="3" xfId="0" applyFont="1" applyFill="1" applyBorder="1" applyAlignment="1">
      <alignment wrapText="1"/>
    </xf>
    <xf numFmtId="0" fontId="8" fillId="17" borderId="3" xfId="0" applyFont="1" applyFill="1" applyBorder="1" applyAlignment="1">
      <alignment wrapText="1"/>
    </xf>
    <xf numFmtId="0" fontId="9" fillId="18" borderId="3" xfId="0" applyFont="1" applyFill="1" applyBorder="1" applyAlignment="1">
      <alignment wrapText="1"/>
    </xf>
    <xf numFmtId="0" fontId="27" fillId="0" borderId="0" xfId="0" applyFont="1"/>
    <xf numFmtId="0" fontId="10" fillId="23" borderId="3" xfId="0" applyFont="1" applyFill="1" applyBorder="1" applyAlignment="1">
      <alignment horizontal="center" vertical="center" wrapText="1"/>
    </xf>
    <xf numFmtId="0" fontId="11" fillId="19" borderId="3" xfId="0" applyFont="1" applyFill="1" applyBorder="1" applyAlignment="1">
      <alignment horizontal="center" vertical="center"/>
    </xf>
    <xf numFmtId="3" fontId="10" fillId="16" borderId="3" xfId="0" applyNumberFormat="1" applyFont="1" applyFill="1" applyBorder="1" applyAlignment="1">
      <alignment horizontal="center" vertical="center" wrapText="1"/>
    </xf>
    <xf numFmtId="3" fontId="10" fillId="23" borderId="3" xfId="0" applyNumberFormat="1" applyFont="1" applyFill="1" applyBorder="1" applyAlignment="1">
      <alignment horizontal="center" vertical="center" wrapText="1"/>
    </xf>
    <xf numFmtId="0" fontId="10" fillId="24" borderId="3" xfId="0" applyFont="1" applyFill="1" applyBorder="1" applyAlignment="1">
      <alignment horizontal="center" vertical="center" wrapText="1"/>
    </xf>
    <xf numFmtId="3" fontId="10" fillId="21" borderId="3" xfId="0" applyNumberFormat="1" applyFont="1" applyFill="1" applyBorder="1" applyAlignment="1">
      <alignment horizontal="center" vertical="center" wrapText="1"/>
    </xf>
    <xf numFmtId="0" fontId="10" fillId="21" borderId="3" xfId="0" applyFont="1" applyFill="1" applyBorder="1" applyAlignment="1">
      <alignment horizontal="center" vertical="center" wrapText="1"/>
    </xf>
    <xf numFmtId="0" fontId="10" fillId="22" borderId="3" xfId="0" applyFont="1" applyFill="1" applyBorder="1" applyAlignment="1">
      <alignment horizontal="center" vertical="center" wrapText="1"/>
    </xf>
    <xf numFmtId="3" fontId="10" fillId="20" borderId="0" xfId="0" applyNumberFormat="1" applyFont="1" applyFill="1" applyAlignment="1">
      <alignment horizontal="center" vertical="center" wrapText="1"/>
    </xf>
    <xf numFmtId="0" fontId="7" fillId="25" borderId="2" xfId="0" applyFont="1" applyFill="1" applyBorder="1" applyAlignment="1">
      <alignment wrapText="1"/>
    </xf>
    <xf numFmtId="0" fontId="15" fillId="24" borderId="3" xfId="0" applyFont="1" applyFill="1" applyBorder="1" applyAlignment="1">
      <alignment wrapText="1"/>
    </xf>
    <xf numFmtId="0" fontId="7" fillId="25" borderId="3" xfId="0" applyFont="1" applyFill="1" applyBorder="1" applyAlignment="1">
      <alignment wrapText="1"/>
    </xf>
    <xf numFmtId="3" fontId="10" fillId="25" borderId="3" xfId="0" applyNumberFormat="1" applyFont="1" applyFill="1" applyBorder="1" applyAlignment="1">
      <alignment horizontal="center" vertical="center" wrapText="1"/>
    </xf>
    <xf numFmtId="0" fontId="10" fillId="25" borderId="3" xfId="0" applyFont="1" applyFill="1" applyBorder="1" applyAlignment="1">
      <alignment horizontal="center" vertical="center" wrapText="1"/>
    </xf>
    <xf numFmtId="0" fontId="11" fillId="25" borderId="3" xfId="0" applyFont="1" applyFill="1" applyBorder="1" applyAlignment="1">
      <alignment horizontal="center" vertical="center"/>
    </xf>
    <xf numFmtId="0" fontId="15" fillId="24" borderId="6" xfId="0" applyFont="1" applyFill="1" applyBorder="1" applyAlignment="1">
      <alignment wrapText="1"/>
    </xf>
    <xf numFmtId="0" fontId="15" fillId="24" borderId="5" xfId="0" applyFont="1" applyFill="1" applyBorder="1" applyAlignment="1">
      <alignment wrapText="1"/>
    </xf>
    <xf numFmtId="0" fontId="8" fillId="17" borderId="5" xfId="0" applyFont="1" applyFill="1" applyBorder="1" applyAlignment="1">
      <alignment wrapText="1"/>
    </xf>
    <xf numFmtId="0" fontId="9" fillId="18" borderId="5" xfId="0" applyFont="1" applyFill="1" applyBorder="1" applyAlignment="1">
      <alignment wrapText="1"/>
    </xf>
    <xf numFmtId="3" fontId="10" fillId="25" borderId="5" xfId="0" applyNumberFormat="1" applyFont="1" applyFill="1" applyBorder="1" applyAlignment="1">
      <alignment horizontal="center" vertical="center" wrapText="1"/>
    </xf>
    <xf numFmtId="0" fontId="11" fillId="19" borderId="5" xfId="0" applyFont="1" applyFill="1" applyBorder="1" applyAlignment="1">
      <alignment horizontal="center" vertical="center"/>
    </xf>
    <xf numFmtId="0" fontId="10" fillId="24" borderId="5" xfId="0" applyFont="1" applyFill="1" applyBorder="1" applyAlignment="1">
      <alignment horizontal="center" vertical="center" wrapText="1"/>
    </xf>
    <xf numFmtId="3" fontId="10" fillId="16" borderId="5" xfId="0" applyNumberFormat="1" applyFont="1" applyFill="1" applyBorder="1" applyAlignment="1">
      <alignment horizontal="center" vertical="center" wrapText="1"/>
    </xf>
    <xf numFmtId="0" fontId="11" fillId="19" borderId="6" xfId="0" applyFont="1" applyFill="1" applyBorder="1" applyAlignment="1">
      <alignment horizontal="center" vertical="center"/>
    </xf>
    <xf numFmtId="0" fontId="10" fillId="25" borderId="5" xfId="0" applyFont="1" applyFill="1" applyBorder="1" applyAlignment="1">
      <alignment horizontal="center" vertical="center" wrapText="1"/>
    </xf>
    <xf numFmtId="0" fontId="11" fillId="25" borderId="5" xfId="0" applyFont="1" applyFill="1" applyBorder="1" applyAlignment="1">
      <alignment horizontal="center" vertical="center"/>
    </xf>
    <xf numFmtId="3" fontId="10" fillId="21" borderId="5" xfId="0" applyNumberFormat="1" applyFont="1" applyFill="1" applyBorder="1" applyAlignment="1">
      <alignment horizontal="center" vertical="center" wrapText="1"/>
    </xf>
    <xf numFmtId="0" fontId="10" fillId="21" borderId="5" xfId="0" applyFont="1" applyFill="1" applyBorder="1" applyAlignment="1">
      <alignment horizontal="center" vertical="center" wrapText="1"/>
    </xf>
    <xf numFmtId="0" fontId="10" fillId="22" borderId="5" xfId="0" applyFont="1" applyFill="1" applyBorder="1" applyAlignment="1">
      <alignment horizontal="center" vertical="center" wrapText="1"/>
    </xf>
    <xf numFmtId="0" fontId="15" fillId="23" borderId="6" xfId="0" applyFont="1" applyFill="1" applyBorder="1" applyAlignment="1">
      <alignment wrapText="1"/>
    </xf>
    <xf numFmtId="0" fontId="15" fillId="23" borderId="5" xfId="0" applyFont="1" applyFill="1" applyBorder="1" applyAlignment="1">
      <alignment wrapText="1"/>
    </xf>
    <xf numFmtId="0" fontId="10" fillId="23" borderId="5" xfId="0" applyFont="1" applyFill="1" applyBorder="1" applyAlignment="1">
      <alignment horizontal="center" vertical="center" wrapText="1"/>
    </xf>
    <xf numFmtId="3" fontId="10" fillId="20" borderId="5" xfId="0" applyNumberFormat="1" applyFont="1" applyFill="1" applyBorder="1" applyAlignment="1">
      <alignment horizontal="center" vertical="center" wrapText="1"/>
    </xf>
    <xf numFmtId="0" fontId="28" fillId="17" borderId="2" xfId="0" applyFont="1" applyFill="1" applyBorder="1" applyAlignment="1">
      <alignment horizontal="left" vertical="top" wrapText="1"/>
    </xf>
    <xf numFmtId="0" fontId="29" fillId="25" borderId="2" xfId="0" applyFont="1" applyFill="1" applyBorder="1" applyAlignment="1">
      <alignment horizontal="center" vertical="center" wrapText="1"/>
    </xf>
    <xf numFmtId="0" fontId="30" fillId="25" borderId="2" xfId="0" applyFont="1" applyFill="1" applyBorder="1" applyAlignment="1">
      <alignment horizontal="center" vertical="center" wrapText="1"/>
    </xf>
    <xf numFmtId="0" fontId="7" fillId="26" borderId="2" xfId="0" applyFont="1" applyFill="1" applyBorder="1" applyAlignment="1">
      <alignment horizontal="center" vertical="center" wrapText="1"/>
    </xf>
    <xf numFmtId="0" fontId="7" fillId="26" borderId="2" xfId="0" applyFont="1" applyFill="1" applyBorder="1" applyAlignment="1">
      <alignment horizontal="left" vertical="center" wrapText="1"/>
    </xf>
    <xf numFmtId="0" fontId="8" fillId="26" borderId="2" xfId="0" applyFont="1" applyFill="1" applyBorder="1" applyAlignment="1">
      <alignment horizontal="left" vertical="top" wrapText="1"/>
    </xf>
    <xf numFmtId="0" fontId="9" fillId="26" borderId="2" xfId="0" applyFont="1" applyFill="1" applyBorder="1" applyAlignment="1">
      <alignment horizontal="left" vertical="top" wrapText="1"/>
    </xf>
    <xf numFmtId="0" fontId="12" fillId="26" borderId="2" xfId="0" applyFont="1" applyFill="1" applyBorder="1" applyAlignment="1">
      <alignment horizontal="center" vertical="center" wrapText="1"/>
    </xf>
    <xf numFmtId="3" fontId="10" fillId="26" borderId="2" xfId="0" applyNumberFormat="1" applyFont="1" applyFill="1" applyBorder="1" applyAlignment="1">
      <alignment horizontal="center" vertical="center" wrapText="1"/>
    </xf>
    <xf numFmtId="0" fontId="13" fillId="26" borderId="2" xfId="0" applyFont="1" applyFill="1" applyBorder="1" applyAlignment="1">
      <alignment horizontal="center" vertical="center" wrapText="1"/>
    </xf>
    <xf numFmtId="0" fontId="11" fillId="26" borderId="2" xfId="0" applyFont="1" applyFill="1" applyBorder="1" applyAlignment="1">
      <alignment horizontal="center" vertical="center"/>
    </xf>
    <xf numFmtId="0" fontId="14" fillId="26" borderId="2" xfId="0" applyFont="1" applyFill="1" applyBorder="1" applyAlignment="1">
      <alignment horizontal="left" vertical="top" wrapText="1"/>
    </xf>
    <xf numFmtId="0" fontId="10" fillId="26" borderId="2" xfId="0" applyFont="1" applyFill="1" applyBorder="1" applyAlignment="1">
      <alignment horizontal="center" vertical="center" wrapText="1"/>
    </xf>
    <xf numFmtId="0" fontId="31" fillId="16" borderId="2" xfId="0" applyFont="1" applyFill="1" applyBorder="1" applyAlignment="1">
      <alignment horizontal="center" vertical="center" wrapText="1"/>
    </xf>
    <xf numFmtId="0" fontId="31" fillId="16" borderId="2" xfId="0" applyFont="1" applyFill="1" applyBorder="1" applyAlignment="1">
      <alignment horizontal="left" vertical="center" wrapText="1"/>
    </xf>
    <xf numFmtId="0" fontId="32" fillId="18" borderId="2" xfId="0" applyFont="1" applyFill="1" applyBorder="1" applyAlignment="1">
      <alignment horizontal="left" vertical="top" wrapText="1"/>
    </xf>
    <xf numFmtId="0" fontId="33" fillId="21" borderId="2" xfId="0" applyFont="1" applyFill="1" applyBorder="1" applyAlignment="1">
      <alignment horizontal="left" vertical="top" wrapText="1"/>
    </xf>
    <xf numFmtId="0" fontId="34" fillId="23" borderId="2" xfId="0" applyFont="1" applyFill="1" applyBorder="1" applyAlignment="1">
      <alignment horizontal="center" vertical="center" wrapText="1"/>
    </xf>
    <xf numFmtId="0" fontId="34" fillId="23" borderId="2" xfId="0" applyFont="1" applyFill="1" applyBorder="1" applyAlignment="1">
      <alignment horizontal="left" vertical="center" wrapText="1"/>
    </xf>
    <xf numFmtId="0" fontId="35" fillId="0" borderId="0" xfId="0" applyFont="1"/>
    <xf numFmtId="0" fontId="29" fillId="16" borderId="2" xfId="0" applyFont="1" applyFill="1" applyBorder="1" applyAlignment="1">
      <alignment horizontal="center" vertical="center" wrapText="1"/>
    </xf>
    <xf numFmtId="0" fontId="36" fillId="16" borderId="2" xfId="0" applyFont="1" applyFill="1" applyBorder="1" applyAlignment="1">
      <alignment horizontal="center" vertical="center" wrapText="1"/>
    </xf>
    <xf numFmtId="0" fontId="37" fillId="25" borderId="2" xfId="0" applyFont="1" applyFill="1" applyBorder="1" applyAlignment="1">
      <alignment horizontal="left" vertical="center" wrapText="1"/>
    </xf>
    <xf numFmtId="0" fontId="31" fillId="25" borderId="2" xfId="0" applyFont="1" applyFill="1" applyBorder="1" applyAlignment="1">
      <alignment horizontal="center" vertical="center" wrapText="1"/>
    </xf>
    <xf numFmtId="0" fontId="34" fillId="24" borderId="2" xfId="0" applyFont="1" applyFill="1" applyBorder="1" applyAlignment="1">
      <alignment horizontal="center" vertical="center" wrapText="1"/>
    </xf>
    <xf numFmtId="0" fontId="31" fillId="25" borderId="2" xfId="0" applyFont="1" applyFill="1" applyBorder="1" applyAlignment="1">
      <alignment horizontal="left" vertical="center" wrapText="1"/>
    </xf>
    <xf numFmtId="0" fontId="38" fillId="19" borderId="2" xfId="0" applyFont="1" applyFill="1" applyBorder="1" applyAlignment="1">
      <alignment horizontal="center" vertical="center"/>
    </xf>
    <xf numFmtId="0" fontId="36" fillId="25" borderId="2" xfId="0" applyFont="1" applyFill="1" applyBorder="1" applyAlignment="1">
      <alignment horizontal="center" vertical="center" wrapText="1"/>
    </xf>
    <xf numFmtId="3" fontId="17" fillId="24" borderId="2" xfId="0" applyNumberFormat="1" applyFont="1" applyFill="1" applyBorder="1" applyAlignment="1">
      <alignment horizontal="center" vertical="center" wrapText="1"/>
    </xf>
    <xf numFmtId="0" fontId="40" fillId="0" borderId="0" xfId="0" applyFont="1"/>
    <xf numFmtId="0" fontId="5" fillId="3" borderId="6" xfId="0" applyFont="1" applyFill="1" applyBorder="1" applyAlignment="1">
      <alignment horizontal="center" vertical="center" wrapText="1"/>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9" xfId="0" applyFont="1" applyFill="1" applyBorder="1" applyAlignment="1">
      <alignment horizontal="center" vertical="center"/>
    </xf>
    <xf numFmtId="0" fontId="39" fillId="0" borderId="3" xfId="0" applyFont="1" applyBorder="1" applyAlignment="1">
      <alignment horizontal="center" vertical="center"/>
    </xf>
    <xf numFmtId="0" fontId="39" fillId="0" borderId="2" xfId="0" applyFont="1" applyBorder="1" applyAlignment="1">
      <alignment horizontal="center" vertical="center"/>
    </xf>
    <xf numFmtId="0" fontId="39" fillId="0" borderId="7" xfId="0" applyFont="1" applyBorder="1" applyAlignment="1">
      <alignment horizontal="left" vertical="center"/>
    </xf>
    <xf numFmtId="0" fontId="39" fillId="0" borderId="7" xfId="0" applyFont="1" applyBorder="1" applyAlignment="1">
      <alignment horizontal="center" vertical="center"/>
    </xf>
    <xf numFmtId="0" fontId="39" fillId="0" borderId="3" xfId="0" applyFont="1" applyBorder="1"/>
    <xf numFmtId="0" fontId="39" fillId="0" borderId="8" xfId="0" applyFont="1" applyBorder="1"/>
    <xf numFmtId="0" fontId="41" fillId="0" borderId="3" xfId="0" applyFont="1" applyBorder="1" applyAlignment="1">
      <alignment horizontal="center" vertical="center"/>
    </xf>
    <xf numFmtId="0" fontId="41" fillId="0" borderId="2" xfId="0" applyFont="1" applyBorder="1" applyAlignment="1">
      <alignment horizontal="center" vertical="center"/>
    </xf>
    <xf numFmtId="0" fontId="41" fillId="0" borderId="7" xfId="0" applyFont="1" applyBorder="1" applyAlignment="1">
      <alignment horizontal="left" vertical="center"/>
    </xf>
    <xf numFmtId="0" fontId="41" fillId="0" borderId="5" xfId="0" applyFont="1" applyBorder="1"/>
    <xf numFmtId="0" fontId="41" fillId="0" borderId="1" xfId="0" applyFont="1" applyBorder="1"/>
    <xf numFmtId="0" fontId="41" fillId="0" borderId="10" xfId="0" applyFont="1" applyBorder="1" applyAlignment="1">
      <alignment horizontal="center" vertical="center"/>
    </xf>
    <xf numFmtId="0" fontId="41" fillId="0" borderId="11" xfId="0" applyFont="1" applyBorder="1" applyAlignment="1">
      <alignment horizontal="center" vertical="center"/>
    </xf>
    <xf numFmtId="0" fontId="41" fillId="0" borderId="12" xfId="0" applyFont="1" applyBorder="1" applyAlignment="1">
      <alignment horizontal="left" vertical="center"/>
    </xf>
    <xf numFmtId="0" fontId="0" fillId="27" borderId="0" xfId="0" applyFill="1"/>
    <xf numFmtId="0" fontId="0" fillId="28" borderId="0" xfId="0" applyFill="1"/>
    <xf numFmtId="0" fontId="5" fillId="3" borderId="1" xfId="0" applyFont="1" applyFill="1" applyBorder="1" applyAlignment="1">
      <alignment horizontal="center" vertical="center" wrapText="1"/>
    </xf>
    <xf numFmtId="0" fontId="39" fillId="0" borderId="0" xfId="0" applyFont="1"/>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3"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6" fillId="3" borderId="3" xfId="0" applyFont="1" applyFill="1" applyBorder="1" applyAlignment="1">
      <alignment horizontal="left" vertical="center"/>
    </xf>
    <xf numFmtId="0" fontId="6" fillId="3" borderId="5" xfId="0" applyFont="1" applyFill="1" applyBorder="1" applyAlignment="1">
      <alignment horizontal="left" vertical="center"/>
    </xf>
    <xf numFmtId="0" fontId="43" fillId="0" borderId="0" xfId="0" applyFont="1"/>
    <xf numFmtId="0" fontId="42" fillId="29" borderId="0" xfId="0" applyFont="1" applyFill="1"/>
    <xf numFmtId="0" fontId="42" fillId="29" borderId="0" xfId="0" applyFont="1" applyFill="1" applyAlignment="1">
      <alignment horizontal="center"/>
    </xf>
    <xf numFmtId="0" fontId="0" fillId="0" borderId="0" xfId="0" applyAlignment="1">
      <alignment horizontal="right"/>
    </xf>
    <xf numFmtId="0" fontId="0" fillId="0" borderId="0" xfId="0" applyNumberFormat="1" applyAlignment="1">
      <alignment horizontal="right"/>
    </xf>
    <xf numFmtId="3" fontId="0" fillId="0" borderId="0" xfId="0" applyNumberFormat="1" applyAlignment="1">
      <alignment horizontal="right"/>
    </xf>
    <xf numFmtId="0" fontId="0" fillId="0" borderId="0" xfId="0" applyAlignment="1">
      <alignment horizontal="center"/>
    </xf>
  </cellXfs>
  <cellStyles count="1">
    <cellStyle name="Normal" xfId="0" builtinId="0"/>
  </cellStyles>
  <dxfs count="16">
    <dxf>
      <font>
        <outline val="0"/>
        <shadow val="0"/>
        <u val="none"/>
        <vertAlign val="baseline"/>
        <sz val="10"/>
        <color auto="1"/>
        <name val="Arial"/>
        <family val="2"/>
        <scheme val="none"/>
      </font>
      <numFmt numFmtId="0" formatCode="General"/>
      <fill>
        <patternFill patternType="none">
          <fgColor indexed="64"/>
          <bgColor auto="1"/>
        </patternFill>
      </fill>
    </dxf>
    <dxf>
      <font>
        <b val="0"/>
        <i/>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rgb="FFC9C9C9"/>
        </left>
        <right/>
        <top style="thin">
          <color rgb="FFC9C9C9"/>
        </top>
        <bottom style="thin">
          <color rgb="FFC9C9C9"/>
        </bottom>
      </border>
    </dxf>
    <dxf>
      <font>
        <b val="0"/>
        <i/>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C9C9C9"/>
        </left>
        <right style="thin">
          <color rgb="FFC9C9C9"/>
        </right>
        <top style="thin">
          <color rgb="FFC9C9C9"/>
        </top>
        <bottom style="thin">
          <color rgb="FFC9C9C9"/>
        </bottom>
      </border>
    </dxf>
    <dxf>
      <font>
        <b val="0"/>
        <i/>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rgb="FFC9C9C9"/>
        </right>
        <top style="thin">
          <color rgb="FFC9C9C9"/>
        </top>
        <bottom style="thin">
          <color rgb="FFC9C9C9"/>
        </bottom>
      </border>
    </dxf>
    <dxf>
      <border outline="0">
        <left style="thin">
          <color rgb="FFC9C9C9"/>
        </left>
        <right style="thin">
          <color rgb="FFC9C9C9"/>
        </right>
        <top style="thin">
          <color rgb="FFC9C9C9"/>
        </top>
        <bottom style="thin">
          <color rgb="FFC9C9C9"/>
        </bottom>
      </border>
    </dxf>
    <dxf>
      <font>
        <outline val="0"/>
        <shadow val="0"/>
        <u val="none"/>
        <vertAlign val="baseline"/>
        <sz val="10"/>
        <color auto="1"/>
        <name val="Arial"/>
        <family val="2"/>
        <scheme val="none"/>
      </font>
      <fill>
        <patternFill patternType="none">
          <fgColor indexed="64"/>
          <bgColor auto="1"/>
        </patternFill>
      </fill>
    </dxf>
    <dxf>
      <border outline="0">
        <bottom style="thin">
          <color rgb="FFC9C9C9"/>
        </bottom>
      </border>
    </dxf>
    <dxf>
      <font>
        <b/>
        <i val="0"/>
        <strike val="0"/>
        <condense val="0"/>
        <extend val="0"/>
        <outline val="0"/>
        <shadow val="0"/>
        <u val="none"/>
        <vertAlign val="baseline"/>
        <sz val="8"/>
        <color rgb="FFFFFFFF"/>
        <name val="Arial"/>
        <family val="2"/>
        <charset val="1"/>
        <scheme val="none"/>
      </font>
      <fill>
        <patternFill patternType="solid">
          <fgColor rgb="FF17375E"/>
          <bgColor rgb="FF1F3864"/>
        </patternFill>
      </fill>
      <alignment horizontal="center" vertical="center" textRotation="0" wrapText="0" indent="0" justifyLastLine="0" shrinkToFit="0" readingOrder="0"/>
      <border diagonalUp="0" diagonalDown="0" outline="0">
        <left style="thin">
          <color rgb="FFC9C9C9"/>
        </left>
        <right style="thin">
          <color rgb="FFC9C9C9"/>
        </right>
        <top/>
        <bottom/>
      </border>
    </dxf>
    <dxf>
      <numFmt numFmtId="0" formatCode="General"/>
    </dxf>
    <dxf>
      <border outline="0">
        <top style="thin">
          <color rgb="FFC9C9C9"/>
        </top>
      </border>
    </dxf>
    <dxf>
      <border outline="0">
        <bottom style="thin">
          <color rgb="FFC9C9C9"/>
        </bottom>
      </border>
    </dxf>
    <dxf>
      <font>
        <b/>
        <i val="0"/>
        <strike val="0"/>
        <condense val="0"/>
        <extend val="0"/>
        <outline val="0"/>
        <shadow val="0"/>
        <u val="none"/>
        <vertAlign val="baseline"/>
        <sz val="8"/>
        <color rgb="FFFFFFFF"/>
        <name val="Arial"/>
        <family val="2"/>
        <charset val="1"/>
        <scheme val="none"/>
      </font>
      <fill>
        <patternFill patternType="solid">
          <fgColor rgb="FF17375E"/>
          <bgColor rgb="FF1F3864"/>
        </patternFill>
      </fill>
      <alignment horizontal="center" vertical="center" textRotation="0" wrapText="1" indent="0" justifyLastLine="0" shrinkToFit="0" readingOrder="0"/>
      <border diagonalUp="0" diagonalDown="0" outline="0">
        <left style="thin">
          <color rgb="FFC9C9C9"/>
        </left>
        <right style="thin">
          <color rgb="FFC9C9C9"/>
        </right>
        <top/>
        <bottom/>
      </border>
    </dxf>
    <dxf>
      <numFmt numFmtId="0" formatCode="General"/>
    </dxf>
    <dxf>
      <border outline="0">
        <top style="thin">
          <color rgb="FFC9C9C9"/>
        </top>
      </border>
    </dxf>
    <dxf>
      <border outline="0">
        <bottom style="thin">
          <color rgb="FFC9C9C9"/>
        </bottom>
      </border>
    </dxf>
    <dxf>
      <font>
        <b/>
        <i val="0"/>
        <strike val="0"/>
        <condense val="0"/>
        <extend val="0"/>
        <outline val="0"/>
        <shadow val="0"/>
        <u val="none"/>
        <vertAlign val="baseline"/>
        <sz val="8"/>
        <color rgb="FFFFFFFF"/>
        <name val="Arial"/>
        <family val="2"/>
        <charset val="1"/>
        <scheme val="none"/>
      </font>
      <fill>
        <patternFill patternType="solid">
          <fgColor rgb="FF17375E"/>
          <bgColor rgb="FF1F3864"/>
        </patternFill>
      </fill>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5C3317"/>
      <rgbColor rgb="FF2E7D32"/>
      <rgbColor rgb="FF000080"/>
      <rgbColor rgb="FF595959"/>
      <rgbColor rgb="FF6A0DAD"/>
      <rgbColor rgb="FF375623"/>
      <rgbColor rgb="FFBFBFBF"/>
      <rgbColor rgb="FF7F7F7F"/>
      <rgbColor rgb="FFDEEAF1"/>
      <rgbColor rgb="FFC0392B"/>
      <rgbColor rgb="FFFEF5E7"/>
      <rgbColor rgb="FFEBF3FB"/>
      <rgbColor rgb="FF4B0082"/>
      <rgbColor rgb="FFF8F8F8"/>
      <rgbColor rgb="FF154360"/>
      <rgbColor rgb="FFC9C9C9"/>
      <rgbColor rgb="FF000080"/>
      <rgbColor rgb="FFFF00FF"/>
      <rgbColor rgb="FFE2EFDA"/>
      <rgbColor rgb="FF00FFFF"/>
      <rgbColor rgb="FF800080"/>
      <rgbColor rgb="FF800000"/>
      <rgbColor rgb="FF008080"/>
      <rgbColor rgb="FF0000FF"/>
      <rgbColor rgb="FF00CCFF"/>
      <rgbColor rgb="FFEAF2F8"/>
      <rgbColor rgb="FFD9EAD3"/>
      <rgbColor rgb="FFFFF9F0"/>
      <rgbColor rgb="FFC8C8C8"/>
      <rgbColor rgb="FFF0E6FF"/>
      <rgbColor rgb="FFD9E2F3"/>
      <rgbColor rgb="FFC6E0B4"/>
      <rgbColor rgb="FF2E75B6"/>
      <rgbColor rgb="FF33CCCC"/>
      <rgbColor rgb="FF99CC00"/>
      <rgbColor rgb="FFF0F0F0"/>
      <rgbColor rgb="FFFF9900"/>
      <rgbColor rgb="FFE46C0A"/>
      <rgbColor rgb="FF777777"/>
      <rgbColor rgb="FFF2F7FB"/>
      <rgbColor rgb="FF17375E"/>
      <rgbColor rgb="FF16A085"/>
      <rgbColor rgb="FF0D0D0D"/>
      <rgbColor rgb="FF5D3A00"/>
      <rgbColor rgb="FF8B4513"/>
      <rgbColor rgb="FF7B3F00"/>
      <rgbColor rgb="FF1F3864"/>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C09140-6119-487B-BA89-7431B812D032}" name="Jurisdiction" displayName="Jurisdiction" ref="A1:B38" totalsRowShown="0" headerRowDxfId="15" headerRowBorderDxfId="14" tableBorderDxfId="13">
  <autoFilter ref="A1:B38" xr:uid="{69C09140-6119-487B-BA89-7431B812D032}"/>
  <tableColumns count="2">
    <tableColumn id="1" xr3:uid="{3D75093C-E9FD-4AB3-8ECB-3BE3E571EB28}" name="Jurisdiction"/>
    <tableColumn id="2" xr3:uid="{E3AB6ABE-EF81-428B-8170-43FB4B69F287}" name="Jurisdiction Code"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700F29-AC04-4551-A2E0-095E9470FDDF}" name="Table1" displayName="Table1" ref="A1:C63" totalsRowShown="0" headerRowDxfId="11" headerRowBorderDxfId="10" tableBorderDxfId="9">
  <autoFilter ref="A1:C63" xr:uid="{212A04C0-E84F-4D32-A697-1B3301DA2CEA}"/>
  <tableColumns count="3">
    <tableColumn id="1" xr3:uid="{8932A58C-FCF1-4EBE-BB37-5054FB964222}" name="Country"/>
    <tableColumn id="2" xr3:uid="{5D28F408-91F8-4A88-A67A-336C5097E335}" name="Service Type"/>
    <tableColumn id="3" xr3:uid="{D616C18C-79DF-439A-B99D-69E865BA4290}" name="Entity Type Code" dataDxfId="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13A5D6-D634-418E-B985-1B3E58A1C32C}" name="Table3" displayName="Table3" ref="A1:D121" totalsRowShown="0" headerRowDxfId="7" dataDxfId="5" headerRowBorderDxfId="6" tableBorderDxfId="4">
  <autoFilter ref="A1:D121" xr:uid="{B213A5D6-D634-418E-B985-1B3E58A1C32C}"/>
  <tableColumns count="4">
    <tableColumn id="1" xr3:uid="{7661AD15-7819-42C9-A954-2C94358672F3}" name="Country" dataDxfId="3"/>
    <tableColumn id="2" xr3:uid="{C5460BF1-52FF-4173-B37C-52D095C2C64C}" name="Service Type" dataDxfId="2"/>
    <tableColumn id="3" xr3:uid="{988DF1B1-56B1-4587-A919-72ED3D5BDF97}" name="Entity / Product" dataDxfId="1"/>
    <tableColumn id="4" xr3:uid="{760D2E03-60A6-4796-93B2-F6F03513779B}" name="Entity Sub Type Cod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04"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9651099-BC0E-4292-AC70-E244A8CA7CC8}">
  <we:reference id="11d7cf85-ae5a-43b8-bc58-1e1a151cce24" version="1.0.0.1" store="EXCatalog" storeType="EXCatalog"/>
  <we:alternateReferences>
    <we:reference id="WA200010725" version="1.0.0.1" store="en-US" storeType="OMEX"/>
  </we:alternateReferences>
  <we:properties>
    <we:property name="claude.fileId" value="&quot;2bce9eab-72a3-4fd9-8d3e-4e3c36cfb5c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G288"/>
  <sheetViews>
    <sheetView zoomScaleNormal="100" workbookViewId="0">
      <pane xSplit="5" ySplit="4" topLeftCell="AJ149" activePane="bottomRight" state="frozen"/>
      <selection pane="topRight" activeCell="F1" sqref="F1"/>
      <selection pane="bottomLeft" activeCell="A268" sqref="A268"/>
      <selection pane="bottomRight" activeCell="AL4" sqref="AL4"/>
    </sheetView>
  </sheetViews>
  <sheetFormatPr defaultColWidth="8.54296875" defaultRowHeight="14.5" x14ac:dyDescent="0.35"/>
  <cols>
    <col min="1" max="1" width="18" customWidth="1"/>
    <col min="3" max="3" width="11" customWidth="1"/>
    <col min="4" max="4" width="24.26953125" customWidth="1"/>
    <col min="5" max="5" width="9" customWidth="1"/>
    <col min="6" max="6" width="32.453125" customWidth="1"/>
    <col min="7" max="7" width="33.81640625" customWidth="1"/>
    <col min="8" max="8" width="12" customWidth="1"/>
    <col min="9" max="9" width="34" customWidth="1"/>
    <col min="10" max="10" width="30" customWidth="1"/>
    <col min="22" max="22" width="16" customWidth="1"/>
    <col min="23" max="23" width="13" customWidth="1"/>
    <col min="25" max="25" width="28" customWidth="1"/>
    <col min="26" max="26" width="10" customWidth="1"/>
    <col min="28" max="28" width="34" customWidth="1"/>
    <col min="29" max="29" width="30" customWidth="1"/>
    <col min="30" max="30" width="19.81640625" customWidth="1"/>
    <col min="31" max="31" width="5" customWidth="1"/>
    <col min="32" max="32" width="18" customWidth="1"/>
    <col min="33" max="33" width="5" customWidth="1"/>
    <col min="34" max="34" width="15.7265625" customWidth="1"/>
    <col min="35" max="35" width="5" customWidth="1"/>
    <col min="36" max="36" width="13.26953125" customWidth="1"/>
    <col min="37" max="37" width="5" customWidth="1"/>
    <col min="38" max="38" width="33.453125" customWidth="1"/>
    <col min="39" max="39" width="5" customWidth="1"/>
    <col min="40" max="40" width="20" customWidth="1"/>
    <col min="41" max="41" width="5" customWidth="1"/>
    <col min="42" max="42" width="13.54296875" customWidth="1"/>
    <col min="43" max="43" width="5" customWidth="1"/>
    <col min="44" max="44" width="12.54296875" customWidth="1"/>
    <col min="45" max="45" width="5" customWidth="1"/>
    <col min="46" max="46" width="17.7265625" customWidth="1"/>
    <col min="47" max="47" width="5" customWidth="1"/>
    <col min="48" max="48" width="12.453125" customWidth="1"/>
    <col min="49" max="49" width="5" customWidth="1"/>
    <col min="50" max="50" width="14.7265625" customWidth="1"/>
    <col min="51" max="51" width="5" customWidth="1"/>
    <col min="52" max="52" width="16.26953125" customWidth="1"/>
    <col min="53" max="53" width="5" customWidth="1"/>
    <col min="54" max="54" width="16.26953125" customWidth="1"/>
    <col min="55" max="55" width="5" customWidth="1"/>
    <col min="56" max="56" width="14.54296875" customWidth="1"/>
    <col min="57" max="57" width="5" customWidth="1"/>
    <col min="58" max="58" width="15.453125" customWidth="1"/>
    <col min="59" max="59" width="5" customWidth="1"/>
    <col min="60" max="60" width="18.7265625" customWidth="1"/>
    <col min="61" max="61" width="5" customWidth="1"/>
    <col min="62" max="62" width="15.81640625" customWidth="1"/>
    <col min="63" max="63" width="5" customWidth="1"/>
    <col min="64" max="64" width="15.453125" customWidth="1"/>
    <col min="65" max="65" width="5" customWidth="1"/>
    <col min="66" max="66" width="16.81640625" customWidth="1"/>
    <col min="67" max="67" width="5" customWidth="1"/>
    <col min="68" max="68" width="15.54296875" customWidth="1"/>
    <col min="69" max="69" width="5" customWidth="1"/>
    <col min="70" max="70" width="17.6328125" customWidth="1"/>
    <col min="71" max="71" width="5" customWidth="1"/>
    <col min="72" max="72" width="20.81640625" customWidth="1"/>
    <col min="73" max="73" width="5" customWidth="1"/>
    <col min="74" max="74" width="16.81640625" customWidth="1"/>
    <col min="75" max="75" width="5" customWidth="1"/>
    <col min="77" max="77" width="5" customWidth="1"/>
    <col min="79" max="79" width="5" customWidth="1"/>
    <col min="81" max="81" width="5" customWidth="1"/>
    <col min="83" max="83" width="5" customWidth="1"/>
    <col min="85" max="85" width="5" customWidth="1"/>
    <col min="87" max="87" width="5" customWidth="1"/>
    <col min="89" max="89" width="5" customWidth="1"/>
    <col min="91" max="91" width="5" customWidth="1"/>
    <col min="93" max="93" width="5" customWidth="1"/>
    <col min="94" max="94" width="30.81640625" customWidth="1"/>
    <col min="95" max="95" width="5" customWidth="1"/>
    <col min="97" max="97" width="5" customWidth="1"/>
    <col min="99" max="99" width="5" customWidth="1"/>
    <col min="101" max="101" width="5" customWidth="1"/>
    <col min="102" max="102" width="15.54296875" customWidth="1"/>
    <col min="103" max="103" width="5" customWidth="1"/>
    <col min="105" max="105" width="5" customWidth="1"/>
    <col min="106" max="106" width="76" customWidth="1"/>
    <col min="107" max="107" width="5" customWidth="1"/>
    <col min="108" max="108" width="14" customWidth="1"/>
    <col min="109" max="109" width="41.26953125" customWidth="1"/>
    <col min="110" max="110" width="41.81640625" customWidth="1"/>
  </cols>
  <sheetData>
    <row r="1" spans="1:111" ht="16.5" customHeight="1" x14ac:dyDescent="0.35">
      <c r="A1" s="175" t="s">
        <v>0</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c r="BL1" s="175"/>
      <c r="BM1" s="175"/>
      <c r="BN1" s="175"/>
      <c r="BO1" s="175"/>
      <c r="BP1" s="175"/>
      <c r="BQ1" s="175"/>
      <c r="BR1" s="175"/>
      <c r="BS1" s="175"/>
      <c r="BT1" s="175"/>
      <c r="BU1" s="175"/>
      <c r="BV1" s="175"/>
      <c r="BW1" s="175"/>
      <c r="BX1" s="175"/>
      <c r="BY1" s="175"/>
      <c r="BZ1" s="175"/>
      <c r="CA1" s="175"/>
      <c r="CB1" s="175"/>
      <c r="CC1" s="175"/>
      <c r="CD1" s="175"/>
      <c r="CE1" s="175"/>
      <c r="CF1" s="175"/>
      <c r="CG1" s="175"/>
      <c r="CH1" s="175"/>
      <c r="CI1" s="175"/>
      <c r="CJ1" s="175"/>
      <c r="CK1" s="175"/>
      <c r="CL1" s="175"/>
      <c r="CM1" s="175"/>
      <c r="CN1" s="175"/>
      <c r="CO1" s="175"/>
      <c r="CP1" s="175"/>
      <c r="CQ1" s="175"/>
      <c r="CR1" s="175"/>
      <c r="CS1" s="175"/>
      <c r="CT1" s="175"/>
      <c r="CU1" s="175"/>
      <c r="CV1" s="175"/>
      <c r="CW1" s="175"/>
      <c r="CX1" s="175"/>
      <c r="CY1" s="175"/>
      <c r="CZ1" s="175"/>
      <c r="DA1" s="175"/>
      <c r="DB1" s="175"/>
      <c r="DC1" s="175"/>
    </row>
    <row r="2" spans="1:111" ht="15" customHeight="1" x14ac:dyDescent="0.35">
      <c r="A2" s="176" t="s">
        <v>1</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6"/>
      <c r="BP2" s="176"/>
      <c r="BQ2" s="176"/>
      <c r="BR2" s="176"/>
      <c r="BS2" s="176"/>
      <c r="BT2" s="176"/>
      <c r="BU2" s="176"/>
      <c r="BV2" s="176"/>
      <c r="BW2" s="176"/>
      <c r="BX2" s="176"/>
      <c r="BY2" s="176"/>
      <c r="BZ2" s="176"/>
      <c r="CA2" s="176"/>
      <c r="CB2" s="176"/>
      <c r="CC2" s="176"/>
      <c r="CD2" s="176"/>
      <c r="CE2" s="176"/>
      <c r="CF2" s="176"/>
      <c r="CG2" s="176"/>
      <c r="CH2" s="176"/>
      <c r="CI2" s="176"/>
      <c r="CJ2" s="176"/>
      <c r="CK2" s="176"/>
      <c r="CL2" s="176"/>
      <c r="CM2" s="176"/>
      <c r="CN2" s="176"/>
      <c r="CO2" s="176"/>
      <c r="CP2" s="176"/>
      <c r="CQ2" s="176"/>
      <c r="CR2" s="176"/>
      <c r="CS2" s="176"/>
      <c r="CT2" s="176"/>
      <c r="CU2" s="176"/>
      <c r="CV2" s="176"/>
      <c r="CW2" s="176"/>
      <c r="CX2" s="176"/>
      <c r="CY2" s="176"/>
      <c r="CZ2" s="176"/>
      <c r="DA2" s="176"/>
      <c r="DB2" s="176"/>
      <c r="DC2" s="176"/>
    </row>
    <row r="3" spans="1:111" ht="24" customHeight="1" x14ac:dyDescent="0.35">
      <c r="A3" s="177" t="s">
        <v>2</v>
      </c>
      <c r="B3" s="177"/>
      <c r="C3" s="177"/>
      <c r="D3" s="177"/>
      <c r="E3" s="177"/>
      <c r="F3" s="178" t="s">
        <v>3</v>
      </c>
      <c r="G3" s="178"/>
      <c r="H3" s="178"/>
      <c r="I3" s="178"/>
      <c r="J3" s="178"/>
      <c r="K3" s="178"/>
      <c r="L3" s="178"/>
      <c r="M3" s="178"/>
      <c r="N3" s="178"/>
      <c r="O3" s="178"/>
      <c r="P3" s="178"/>
      <c r="Q3" s="178"/>
      <c r="R3" s="178"/>
      <c r="S3" s="178"/>
      <c r="T3" s="178"/>
      <c r="U3" s="178"/>
      <c r="V3" s="179" t="s">
        <v>4</v>
      </c>
      <c r="W3" s="179"/>
      <c r="X3" s="179"/>
      <c r="Y3" s="179"/>
      <c r="Z3" s="179"/>
      <c r="AA3" s="179"/>
      <c r="AB3" s="179"/>
      <c r="AC3" s="179"/>
      <c r="AD3" s="180" t="s">
        <v>5</v>
      </c>
      <c r="AE3" s="180"/>
      <c r="AF3" s="180"/>
      <c r="AG3" s="180"/>
      <c r="AH3" s="180"/>
      <c r="AI3" s="180"/>
      <c r="AJ3" s="180"/>
      <c r="AK3" s="180"/>
      <c r="AL3" s="180"/>
      <c r="AM3" s="180"/>
      <c r="AN3" s="180"/>
      <c r="AO3" s="180"/>
      <c r="AP3" s="181" t="s">
        <v>6</v>
      </c>
      <c r="AQ3" s="181"/>
      <c r="AR3" s="181"/>
      <c r="AS3" s="181"/>
      <c r="AT3" s="181"/>
      <c r="AU3" s="181"/>
      <c r="AV3" s="181"/>
      <c r="AW3" s="181"/>
      <c r="AX3" s="181"/>
      <c r="AY3" s="181"/>
      <c r="AZ3" s="181"/>
      <c r="BA3" s="181"/>
      <c r="BB3" s="181"/>
      <c r="BC3" s="181"/>
      <c r="BD3" s="182" t="s">
        <v>7</v>
      </c>
      <c r="BE3" s="182"/>
      <c r="BF3" s="182"/>
      <c r="BG3" s="2"/>
      <c r="BH3" s="2"/>
      <c r="BJ3" s="2"/>
      <c r="BL3" s="2"/>
      <c r="BN3" s="2"/>
      <c r="BP3" s="2"/>
      <c r="BR3" s="3" t="s">
        <v>8</v>
      </c>
      <c r="BT3" s="3" t="s">
        <v>8</v>
      </c>
      <c r="BV3" s="3" t="s">
        <v>8</v>
      </c>
      <c r="BX3" s="3" t="s">
        <v>8</v>
      </c>
      <c r="BZ3" s="3" t="s">
        <v>8</v>
      </c>
      <c r="CB3" s="2"/>
      <c r="CD3" s="2"/>
      <c r="CF3" s="2"/>
      <c r="CH3" s="2"/>
      <c r="CJ3" s="2"/>
      <c r="CK3" s="2"/>
      <c r="CL3" s="2"/>
      <c r="CM3" s="2"/>
      <c r="CN3" s="2"/>
      <c r="CP3" s="183" t="s">
        <v>9</v>
      </c>
      <c r="CQ3" s="183"/>
      <c r="CR3" s="183"/>
      <c r="CS3" s="183"/>
      <c r="CT3" s="183"/>
      <c r="CU3" s="183"/>
      <c r="CV3" s="183"/>
      <c r="CW3" s="183"/>
      <c r="CX3" s="1"/>
      <c r="CZ3" s="1"/>
      <c r="DB3" s="4" t="s">
        <v>10</v>
      </c>
    </row>
    <row r="4" spans="1:111" ht="33.75" customHeight="1" x14ac:dyDescent="0.35">
      <c r="A4" s="5" t="s">
        <v>11</v>
      </c>
      <c r="B4" s="5" t="s">
        <v>12</v>
      </c>
      <c r="C4" s="5" t="s">
        <v>13</v>
      </c>
      <c r="D4" s="5" t="s">
        <v>14</v>
      </c>
      <c r="E4" s="5" t="s">
        <v>15</v>
      </c>
      <c r="F4" s="6" t="s">
        <v>16</v>
      </c>
      <c r="G4" s="6" t="s">
        <v>17</v>
      </c>
      <c r="H4" s="6" t="s">
        <v>18</v>
      </c>
      <c r="I4" s="6" t="s">
        <v>19</v>
      </c>
      <c r="J4" s="7" t="s">
        <v>20</v>
      </c>
      <c r="K4" s="7" t="s">
        <v>21</v>
      </c>
      <c r="L4" s="7" t="s">
        <v>22</v>
      </c>
      <c r="M4" s="7" t="s">
        <v>23</v>
      </c>
      <c r="N4" s="8" t="s">
        <v>24</v>
      </c>
      <c r="O4" s="8" t="s">
        <v>25</v>
      </c>
      <c r="P4" s="8" t="s">
        <v>26</v>
      </c>
      <c r="Q4" s="8" t="s">
        <v>27</v>
      </c>
      <c r="R4" s="9" t="s">
        <v>28</v>
      </c>
      <c r="S4" s="9" t="s">
        <v>29</v>
      </c>
      <c r="T4" s="9" t="s">
        <v>30</v>
      </c>
      <c r="U4" s="9" t="s">
        <v>31</v>
      </c>
      <c r="V4" s="10" t="s">
        <v>32</v>
      </c>
      <c r="W4" s="10" t="s">
        <v>33</v>
      </c>
      <c r="X4" s="10" t="s">
        <v>34</v>
      </c>
      <c r="Y4" s="10" t="s">
        <v>35</v>
      </c>
      <c r="Z4" s="11" t="s">
        <v>36</v>
      </c>
      <c r="AA4" s="11" t="s">
        <v>37</v>
      </c>
      <c r="AB4" s="11" t="s">
        <v>38</v>
      </c>
      <c r="AC4" s="11" t="s">
        <v>39</v>
      </c>
      <c r="AD4" s="12" t="s">
        <v>40</v>
      </c>
      <c r="AE4" s="10" t="s">
        <v>41</v>
      </c>
      <c r="AF4" s="12" t="s">
        <v>42</v>
      </c>
      <c r="AG4" s="10" t="s">
        <v>41</v>
      </c>
      <c r="AH4" s="12" t="s">
        <v>43</v>
      </c>
      <c r="AI4" s="10" t="s">
        <v>41</v>
      </c>
      <c r="AJ4" s="12" t="s">
        <v>44</v>
      </c>
      <c r="AK4" s="10" t="s">
        <v>41</v>
      </c>
      <c r="AL4" s="12" t="s">
        <v>45</v>
      </c>
      <c r="AM4" s="10" t="s">
        <v>41</v>
      </c>
      <c r="AN4" s="12" t="s">
        <v>46</v>
      </c>
      <c r="AO4" s="10" t="s">
        <v>41</v>
      </c>
      <c r="AP4" s="13" t="s">
        <v>47</v>
      </c>
      <c r="AQ4" s="10" t="s">
        <v>41</v>
      </c>
      <c r="AR4" s="13" t="s">
        <v>48</v>
      </c>
      <c r="AS4" s="10" t="s">
        <v>41</v>
      </c>
      <c r="AT4" s="13" t="s">
        <v>49</v>
      </c>
      <c r="AU4" s="10" t="s">
        <v>41</v>
      </c>
      <c r="AV4" s="13" t="s">
        <v>50</v>
      </c>
      <c r="AW4" s="10" t="s">
        <v>41</v>
      </c>
      <c r="AX4" s="13" t="s">
        <v>51</v>
      </c>
      <c r="AY4" s="10" t="s">
        <v>41</v>
      </c>
      <c r="AZ4" s="13" t="s">
        <v>52</v>
      </c>
      <c r="BA4" s="10" t="s">
        <v>41</v>
      </c>
      <c r="BB4" s="13" t="s">
        <v>53</v>
      </c>
      <c r="BC4" s="10" t="s">
        <v>41</v>
      </c>
      <c r="BD4" s="14" t="s">
        <v>54</v>
      </c>
      <c r="BE4" s="10" t="s">
        <v>41</v>
      </c>
      <c r="BF4" s="14" t="s">
        <v>55</v>
      </c>
      <c r="BG4" s="10" t="s">
        <v>41</v>
      </c>
      <c r="BH4" s="14" t="s">
        <v>56</v>
      </c>
      <c r="BI4" s="10" t="s">
        <v>41</v>
      </c>
      <c r="BJ4" s="14" t="s">
        <v>57</v>
      </c>
      <c r="BK4" s="10" t="s">
        <v>41</v>
      </c>
      <c r="BL4" s="14" t="s">
        <v>58</v>
      </c>
      <c r="BM4" s="10" t="s">
        <v>41</v>
      </c>
      <c r="BN4" s="14" t="s">
        <v>59</v>
      </c>
      <c r="BO4" s="10" t="s">
        <v>41</v>
      </c>
      <c r="BP4" s="14" t="s">
        <v>60</v>
      </c>
      <c r="BQ4" s="10" t="s">
        <v>41</v>
      </c>
      <c r="BR4" s="3" t="s">
        <v>61</v>
      </c>
      <c r="BS4" s="10" t="s">
        <v>41</v>
      </c>
      <c r="BT4" s="3" t="s">
        <v>62</v>
      </c>
      <c r="BU4" s="10" t="s">
        <v>41</v>
      </c>
      <c r="BV4" s="3" t="s">
        <v>63</v>
      </c>
      <c r="BW4" s="10" t="s">
        <v>41</v>
      </c>
      <c r="BX4" s="3" t="s">
        <v>64</v>
      </c>
      <c r="BY4" s="10" t="s">
        <v>41</v>
      </c>
      <c r="BZ4" s="3" t="s">
        <v>65</v>
      </c>
      <c r="CA4" s="10" t="s">
        <v>41</v>
      </c>
      <c r="CB4" s="3" t="s">
        <v>66</v>
      </c>
      <c r="CC4" s="10" t="s">
        <v>41</v>
      </c>
      <c r="CD4" s="3" t="s">
        <v>67</v>
      </c>
      <c r="CE4" s="10" t="s">
        <v>41</v>
      </c>
      <c r="CF4" s="3" t="s">
        <v>68</v>
      </c>
      <c r="CG4" s="10" t="s">
        <v>41</v>
      </c>
      <c r="CH4" s="3" t="s">
        <v>69</v>
      </c>
      <c r="CI4" s="10" t="s">
        <v>41</v>
      </c>
      <c r="CJ4" s="3" t="s">
        <v>70</v>
      </c>
      <c r="CK4" s="10" t="s">
        <v>41</v>
      </c>
      <c r="CL4" s="3" t="s">
        <v>71</v>
      </c>
      <c r="CM4" s="10" t="s">
        <v>41</v>
      </c>
      <c r="CN4" s="3" t="s">
        <v>72</v>
      </c>
      <c r="CO4" s="10" t="s">
        <v>41</v>
      </c>
      <c r="CP4" s="15" t="s">
        <v>73</v>
      </c>
      <c r="CQ4" s="10" t="s">
        <v>41</v>
      </c>
      <c r="CR4" s="15" t="s">
        <v>74</v>
      </c>
      <c r="CS4" s="10" t="s">
        <v>41</v>
      </c>
      <c r="CT4" s="15" t="s">
        <v>75</v>
      </c>
      <c r="CU4" s="10" t="s">
        <v>41</v>
      </c>
      <c r="CV4" s="15" t="s">
        <v>76</v>
      </c>
      <c r="CW4" s="10" t="s">
        <v>41</v>
      </c>
      <c r="CX4" s="15" t="s">
        <v>77</v>
      </c>
      <c r="CY4" s="10" t="s">
        <v>41</v>
      </c>
      <c r="CZ4" s="15" t="s">
        <v>78</v>
      </c>
      <c r="DA4" s="10" t="s">
        <v>41</v>
      </c>
      <c r="DB4" s="16" t="s">
        <v>79</v>
      </c>
      <c r="DC4" s="10" t="s">
        <v>41</v>
      </c>
      <c r="DD4" s="12" t="s">
        <v>80</v>
      </c>
      <c r="DE4" s="17" t="s">
        <v>81</v>
      </c>
      <c r="DF4" s="17" t="s">
        <v>82</v>
      </c>
      <c r="DG4" s="17" t="s">
        <v>83</v>
      </c>
    </row>
    <row r="5" spans="1:111" ht="14.25" hidden="1" customHeight="1" x14ac:dyDescent="0.35">
      <c r="A5" s="184" t="s">
        <v>84</v>
      </c>
      <c r="B5" s="184"/>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c r="AX5" s="184"/>
      <c r="AY5" s="184"/>
      <c r="AZ5" s="184"/>
      <c r="BA5" s="184"/>
      <c r="BB5" s="184"/>
      <c r="BC5" s="184"/>
      <c r="BD5" s="184"/>
      <c r="BE5" s="184"/>
      <c r="BF5" s="184"/>
      <c r="BG5" s="184"/>
      <c r="BH5" s="184"/>
      <c r="BI5" s="184"/>
      <c r="BJ5" s="184"/>
      <c r="BK5" s="184"/>
      <c r="BL5" s="184"/>
      <c r="BM5" s="184"/>
      <c r="BN5" s="184"/>
      <c r="BO5" s="184"/>
      <c r="BP5" s="184"/>
      <c r="BQ5" s="184"/>
      <c r="BR5" s="184"/>
      <c r="BS5" s="184"/>
      <c r="BT5" s="184"/>
      <c r="BU5" s="184"/>
      <c r="BV5" s="184"/>
      <c r="BW5" s="184"/>
      <c r="BX5" s="184"/>
      <c r="BY5" s="184"/>
      <c r="BZ5" s="184"/>
      <c r="CA5" s="184"/>
      <c r="CB5" s="184"/>
      <c r="CC5" s="184"/>
      <c r="CD5" s="184"/>
      <c r="CE5" s="184"/>
      <c r="CF5" s="184"/>
      <c r="CG5" s="184"/>
      <c r="CH5" s="184"/>
      <c r="CI5" s="184"/>
      <c r="CJ5" s="184"/>
      <c r="CK5" s="184"/>
      <c r="CL5" s="184"/>
      <c r="CM5" s="184"/>
      <c r="CN5" s="184"/>
      <c r="CO5" s="184"/>
      <c r="CP5" s="184"/>
      <c r="CQ5" s="184"/>
      <c r="CR5" s="184"/>
      <c r="CS5" s="184"/>
      <c r="CT5" s="184"/>
      <c r="CU5" s="184"/>
      <c r="CV5" s="184"/>
      <c r="CW5" s="184"/>
      <c r="CX5" s="184"/>
      <c r="CY5" s="184"/>
      <c r="CZ5" s="184"/>
      <c r="DA5" s="184"/>
      <c r="DB5" s="184"/>
      <c r="DC5" s="184"/>
      <c r="DE5" t="s">
        <v>85</v>
      </c>
    </row>
    <row r="6" spans="1:111" ht="78.75" hidden="1" customHeight="1" x14ac:dyDescent="0.35">
      <c r="A6" s="18" t="s">
        <v>86</v>
      </c>
      <c r="B6" s="18" t="s">
        <v>87</v>
      </c>
      <c r="C6" s="18" t="s">
        <v>88</v>
      </c>
      <c r="D6" s="19" t="s">
        <v>89</v>
      </c>
      <c r="E6" s="18" t="s">
        <v>90</v>
      </c>
      <c r="F6" s="20" t="s">
        <v>91</v>
      </c>
      <c r="G6" s="20" t="s">
        <v>92</v>
      </c>
      <c r="H6" s="20" t="s">
        <v>93</v>
      </c>
      <c r="I6" s="20" t="s">
        <v>94</v>
      </c>
      <c r="J6" s="20" t="s">
        <v>95</v>
      </c>
      <c r="K6" s="20" t="s">
        <v>96</v>
      </c>
      <c r="L6" s="20" t="s">
        <v>97</v>
      </c>
      <c r="M6" s="20" t="s">
        <v>98</v>
      </c>
      <c r="N6" s="20" t="s">
        <v>99</v>
      </c>
      <c r="O6" s="20" t="s">
        <v>100</v>
      </c>
      <c r="P6" s="20" t="s">
        <v>101</v>
      </c>
      <c r="Q6" s="20" t="s">
        <v>102</v>
      </c>
      <c r="R6" s="20" t="s">
        <v>103</v>
      </c>
      <c r="S6" s="20" t="s">
        <v>104</v>
      </c>
      <c r="T6" s="20" t="s">
        <v>105</v>
      </c>
      <c r="U6" s="20" t="s">
        <v>106</v>
      </c>
      <c r="V6" s="21" t="s">
        <v>107</v>
      </c>
      <c r="W6" s="21" t="s">
        <v>108</v>
      </c>
      <c r="X6" s="21" t="s">
        <v>109</v>
      </c>
      <c r="Y6" s="21" t="s">
        <v>110</v>
      </c>
      <c r="Z6" s="21" t="s">
        <v>111</v>
      </c>
      <c r="AA6" s="21" t="s">
        <v>112</v>
      </c>
      <c r="AB6" s="21" t="s">
        <v>113</v>
      </c>
      <c r="AC6" s="21" t="s">
        <v>114</v>
      </c>
      <c r="AD6" s="22">
        <v>1560</v>
      </c>
      <c r="AE6" s="23" t="s">
        <v>115</v>
      </c>
      <c r="AF6" s="24"/>
      <c r="AG6" s="23" t="s">
        <v>116</v>
      </c>
      <c r="AH6" s="24"/>
      <c r="AI6" s="25" t="s">
        <v>117</v>
      </c>
      <c r="AJ6" s="24"/>
      <c r="AK6" s="25" t="s">
        <v>117</v>
      </c>
      <c r="AL6" s="22">
        <v>0</v>
      </c>
      <c r="AM6" s="23" t="s">
        <v>115</v>
      </c>
      <c r="AN6" s="24"/>
      <c r="AO6" s="25" t="s">
        <v>117</v>
      </c>
      <c r="AP6" s="26">
        <v>1560</v>
      </c>
      <c r="AQ6" s="23" t="s">
        <v>116</v>
      </c>
      <c r="AR6" s="24"/>
      <c r="AS6" s="23" t="s">
        <v>117</v>
      </c>
      <c r="AT6" s="27" t="s">
        <v>118</v>
      </c>
      <c r="AU6" s="23" t="s">
        <v>116</v>
      </c>
      <c r="AV6" s="22">
        <v>860</v>
      </c>
      <c r="AW6" s="23" t="s">
        <v>115</v>
      </c>
      <c r="AX6" s="22">
        <v>590</v>
      </c>
      <c r="AY6" s="23" t="s">
        <v>115</v>
      </c>
      <c r="AZ6" s="26">
        <v>350</v>
      </c>
      <c r="BA6" s="23" t="s">
        <v>115</v>
      </c>
      <c r="BB6" s="24"/>
      <c r="BC6" s="23" t="s">
        <v>115</v>
      </c>
      <c r="BD6" s="27" t="s">
        <v>118</v>
      </c>
      <c r="BE6" s="23" t="s">
        <v>115</v>
      </c>
      <c r="BF6" s="27" t="s">
        <v>118</v>
      </c>
      <c r="BG6" s="23" t="s">
        <v>115</v>
      </c>
      <c r="BH6" s="28"/>
      <c r="BI6" s="25" t="s">
        <v>117</v>
      </c>
      <c r="BJ6" s="28"/>
      <c r="BK6" s="25" t="s">
        <v>117</v>
      </c>
      <c r="BL6" s="28"/>
      <c r="BM6" s="25" t="s">
        <v>117</v>
      </c>
      <c r="BN6" s="28"/>
      <c r="BO6" s="25" t="s">
        <v>117</v>
      </c>
      <c r="BP6" s="28"/>
      <c r="BQ6" s="25" t="s">
        <v>117</v>
      </c>
      <c r="BR6" s="28"/>
      <c r="BS6" s="25" t="s">
        <v>117</v>
      </c>
      <c r="BT6" s="28"/>
      <c r="BU6" s="25" t="s">
        <v>117</v>
      </c>
      <c r="BV6" s="28"/>
      <c r="BW6" s="25" t="s">
        <v>117</v>
      </c>
      <c r="BX6" s="28"/>
      <c r="BY6" s="25" t="s">
        <v>117</v>
      </c>
      <c r="BZ6" s="28"/>
      <c r="CA6" s="25" t="s">
        <v>117</v>
      </c>
      <c r="CB6" s="28"/>
      <c r="CC6" s="25" t="s">
        <v>117</v>
      </c>
      <c r="CD6" s="28"/>
      <c r="CE6" s="25" t="s">
        <v>117</v>
      </c>
      <c r="CF6" s="28"/>
      <c r="CG6" s="25" t="s">
        <v>117</v>
      </c>
      <c r="CH6" s="28"/>
      <c r="CI6" s="25"/>
      <c r="CJ6" s="28"/>
      <c r="CK6" s="29" t="s">
        <v>117</v>
      </c>
      <c r="CL6" s="28"/>
      <c r="CM6" s="29" t="s">
        <v>117</v>
      </c>
      <c r="CN6" s="28"/>
      <c r="CO6" s="25" t="s">
        <v>117</v>
      </c>
      <c r="CP6" s="30">
        <v>400</v>
      </c>
      <c r="CQ6" s="23" t="s">
        <v>115</v>
      </c>
      <c r="CR6" s="30">
        <v>300</v>
      </c>
      <c r="CS6" s="23" t="s">
        <v>115</v>
      </c>
      <c r="CT6" s="30">
        <v>125</v>
      </c>
      <c r="CU6" s="23" t="s">
        <v>115</v>
      </c>
      <c r="CV6" s="31" t="s">
        <v>119</v>
      </c>
      <c r="CW6" s="23" t="s">
        <v>117</v>
      </c>
      <c r="CX6" s="32"/>
      <c r="CY6" s="25" t="s">
        <v>117</v>
      </c>
      <c r="CZ6" s="32"/>
      <c r="DA6" s="25" t="s">
        <v>117</v>
      </c>
      <c r="DB6" s="33" t="s">
        <v>120</v>
      </c>
      <c r="DC6" s="25" t="s">
        <v>116</v>
      </c>
      <c r="DD6" s="34">
        <f t="shared" ref="DD6:DD12" si="0">ROUND(0.075*SUM(AD6,AF6,AH6,AJ6,AL6,AN6,AP6,AR6,AT6,AV6,AX6,AZ6,BB6,BR6,BT6,BV6,BX6,BZ6,CB6,CD6,CF6,CJ6,CL6,CN6,CP6,CR6,CT6,CV6,CX6,CZ6),0)</f>
        <v>431</v>
      </c>
      <c r="DE6" t="s">
        <v>121</v>
      </c>
      <c r="DF6" t="str">
        <f t="shared" ref="DF6:DF47" si="1">A6&amp;"#"&amp;C6&amp;"#"&amp;D6</f>
        <v>Bahamas#Company#Bahamas IBC</v>
      </c>
      <c r="DG6" t="b">
        <f t="shared" ref="DG6:DG12" si="2">DE6=DF6</f>
        <v>1</v>
      </c>
    </row>
    <row r="7" spans="1:111" ht="78.75" hidden="1" customHeight="1" x14ac:dyDescent="0.35">
      <c r="A7" s="35" t="s">
        <v>86</v>
      </c>
      <c r="B7" s="18" t="s">
        <v>87</v>
      </c>
      <c r="C7" s="35" t="s">
        <v>122</v>
      </c>
      <c r="D7" s="36" t="s">
        <v>123</v>
      </c>
      <c r="E7" s="35" t="s">
        <v>90</v>
      </c>
      <c r="F7" s="20" t="s">
        <v>124</v>
      </c>
      <c r="G7" s="20" t="s">
        <v>125</v>
      </c>
      <c r="H7" s="20" t="s">
        <v>126</v>
      </c>
      <c r="I7" s="20" t="s">
        <v>127</v>
      </c>
      <c r="J7" s="20" t="s">
        <v>95</v>
      </c>
      <c r="K7" s="20" t="s">
        <v>96</v>
      </c>
      <c r="L7" s="20" t="s">
        <v>97</v>
      </c>
      <c r="M7" s="20" t="s">
        <v>98</v>
      </c>
      <c r="N7" s="20" t="s">
        <v>128</v>
      </c>
      <c r="O7" s="20" t="s">
        <v>129</v>
      </c>
      <c r="P7" s="20" t="s">
        <v>130</v>
      </c>
      <c r="Q7" s="20" t="s">
        <v>131</v>
      </c>
      <c r="R7" s="20" t="s">
        <v>132</v>
      </c>
      <c r="S7" s="20" t="s">
        <v>133</v>
      </c>
      <c r="T7" s="20" t="s">
        <v>134</v>
      </c>
      <c r="U7" s="20" t="s">
        <v>135</v>
      </c>
      <c r="V7" s="21" t="s">
        <v>122</v>
      </c>
      <c r="W7" s="21" t="s">
        <v>108</v>
      </c>
      <c r="X7" s="21" t="s">
        <v>136</v>
      </c>
      <c r="Y7" s="21" t="s">
        <v>137</v>
      </c>
      <c r="Z7" s="21" t="s">
        <v>111</v>
      </c>
      <c r="AA7" s="21"/>
      <c r="AB7" s="21" t="s">
        <v>138</v>
      </c>
      <c r="AC7" s="21" t="s">
        <v>139</v>
      </c>
      <c r="AD7" s="37">
        <v>4500</v>
      </c>
      <c r="AE7" s="23" t="s">
        <v>115</v>
      </c>
      <c r="AF7" s="38"/>
      <c r="AG7" s="23" t="s">
        <v>116</v>
      </c>
      <c r="AH7" s="38"/>
      <c r="AI7" s="25" t="s">
        <v>117</v>
      </c>
      <c r="AJ7" s="38"/>
      <c r="AK7" s="25" t="s">
        <v>117</v>
      </c>
      <c r="AL7" s="22">
        <v>0</v>
      </c>
      <c r="AM7" s="23" t="s">
        <v>115</v>
      </c>
      <c r="AN7" s="38"/>
      <c r="AO7" s="25" t="s">
        <v>117</v>
      </c>
      <c r="AQ7" s="23" t="s">
        <v>117</v>
      </c>
      <c r="AR7" s="37">
        <v>3500</v>
      </c>
      <c r="AS7" s="23" t="s">
        <v>115</v>
      </c>
      <c r="AT7" s="39" t="s">
        <v>118</v>
      </c>
      <c r="AU7" s="23" t="s">
        <v>116</v>
      </c>
      <c r="AV7" s="39" t="s">
        <v>118</v>
      </c>
      <c r="AW7" s="23" t="s">
        <v>115</v>
      </c>
      <c r="AX7" s="39" t="s">
        <v>118</v>
      </c>
      <c r="AY7" s="23" t="s">
        <v>115</v>
      </c>
      <c r="AZ7" s="39" t="s">
        <v>118</v>
      </c>
      <c r="BA7" s="23" t="s">
        <v>115</v>
      </c>
      <c r="BB7" s="40"/>
      <c r="BC7" s="23" t="s">
        <v>115</v>
      </c>
      <c r="BD7" s="39" t="s">
        <v>118</v>
      </c>
      <c r="BE7" s="23" t="s">
        <v>115</v>
      </c>
      <c r="BF7" s="39" t="s">
        <v>118</v>
      </c>
      <c r="BG7" s="23" t="s">
        <v>115</v>
      </c>
      <c r="BH7" s="40"/>
      <c r="BI7" s="25" t="s">
        <v>117</v>
      </c>
      <c r="BJ7" s="40"/>
      <c r="BK7" s="25" t="s">
        <v>117</v>
      </c>
      <c r="BL7" s="40"/>
      <c r="BM7" s="25" t="s">
        <v>117</v>
      </c>
      <c r="BN7" s="40"/>
      <c r="BO7" s="25" t="s">
        <v>117</v>
      </c>
      <c r="BP7" s="40"/>
      <c r="BQ7" s="25" t="s">
        <v>117</v>
      </c>
      <c r="BR7" s="40"/>
      <c r="BS7" s="25" t="s">
        <v>117</v>
      </c>
      <c r="BT7" s="40"/>
      <c r="BU7" s="25" t="s">
        <v>117</v>
      </c>
      <c r="BV7" s="40"/>
      <c r="BW7" s="25" t="s">
        <v>117</v>
      </c>
      <c r="BX7" s="40"/>
      <c r="BY7" s="25" t="s">
        <v>117</v>
      </c>
      <c r="BZ7" s="40"/>
      <c r="CA7" s="25" t="s">
        <v>117</v>
      </c>
      <c r="CB7" s="40"/>
      <c r="CC7" s="25" t="s">
        <v>117</v>
      </c>
      <c r="CD7" s="40"/>
      <c r="CE7" s="25" t="s">
        <v>117</v>
      </c>
      <c r="CF7" s="40"/>
      <c r="CG7" s="25" t="s">
        <v>117</v>
      </c>
      <c r="CH7" s="40"/>
      <c r="CI7" s="25"/>
      <c r="CJ7" s="40"/>
      <c r="CK7" s="41" t="s">
        <v>117</v>
      </c>
      <c r="CL7" s="40"/>
      <c r="CM7" s="41" t="s">
        <v>117</v>
      </c>
      <c r="CN7" s="40"/>
      <c r="CO7" s="25" t="s">
        <v>117</v>
      </c>
      <c r="CP7" s="30">
        <v>400</v>
      </c>
      <c r="CQ7" s="23" t="s">
        <v>115</v>
      </c>
      <c r="CR7" s="30">
        <v>300</v>
      </c>
      <c r="CS7" s="23" t="s">
        <v>115</v>
      </c>
      <c r="CT7" s="30">
        <v>125</v>
      </c>
      <c r="CU7" s="23" t="s">
        <v>115</v>
      </c>
      <c r="CV7" s="32"/>
      <c r="CW7" s="23" t="s">
        <v>117</v>
      </c>
      <c r="CX7" s="32"/>
      <c r="CY7" s="25" t="s">
        <v>117</v>
      </c>
      <c r="CZ7" s="32"/>
      <c r="DA7" s="25" t="s">
        <v>117</v>
      </c>
      <c r="DB7" s="33" t="s">
        <v>120</v>
      </c>
      <c r="DC7" s="25" t="s">
        <v>116</v>
      </c>
      <c r="DD7" s="34">
        <f t="shared" si="0"/>
        <v>662</v>
      </c>
      <c r="DE7" t="s">
        <v>140</v>
      </c>
      <c r="DF7" t="str">
        <f t="shared" si="1"/>
        <v>Bahamas#Trust#Bahamas Trust</v>
      </c>
      <c r="DG7" t="b">
        <f t="shared" si="2"/>
        <v>1</v>
      </c>
    </row>
    <row r="8" spans="1:111" ht="78.75" customHeight="1" x14ac:dyDescent="0.35">
      <c r="A8" s="42" t="s">
        <v>86</v>
      </c>
      <c r="B8" s="18" t="s">
        <v>87</v>
      </c>
      <c r="C8" s="42" t="s">
        <v>141</v>
      </c>
      <c r="D8" s="43" t="s">
        <v>142</v>
      </c>
      <c r="E8" s="42" t="s">
        <v>90</v>
      </c>
      <c r="F8" s="20" t="s">
        <v>143</v>
      </c>
      <c r="G8" s="20" t="s">
        <v>144</v>
      </c>
      <c r="H8" s="20" t="s">
        <v>145</v>
      </c>
      <c r="I8" s="20" t="s">
        <v>146</v>
      </c>
      <c r="J8" s="20" t="s">
        <v>95</v>
      </c>
      <c r="K8" s="20" t="s">
        <v>96</v>
      </c>
      <c r="L8" s="20" t="s">
        <v>97</v>
      </c>
      <c r="M8" s="20" t="s">
        <v>98</v>
      </c>
      <c r="N8" s="20" t="s">
        <v>147</v>
      </c>
      <c r="O8" s="20" t="s">
        <v>148</v>
      </c>
      <c r="P8" s="20" t="s">
        <v>149</v>
      </c>
      <c r="Q8" s="20" t="s">
        <v>150</v>
      </c>
      <c r="R8" s="20" t="s">
        <v>151</v>
      </c>
      <c r="S8" s="20" t="s">
        <v>152</v>
      </c>
      <c r="T8" s="20" t="s">
        <v>153</v>
      </c>
      <c r="U8" s="20" t="s">
        <v>154</v>
      </c>
      <c r="V8" s="21" t="s">
        <v>155</v>
      </c>
      <c r="W8" s="21" t="s">
        <v>108</v>
      </c>
      <c r="X8" s="21" t="s">
        <v>109</v>
      </c>
      <c r="Y8" s="21" t="s">
        <v>156</v>
      </c>
      <c r="Z8" s="21" t="s">
        <v>111</v>
      </c>
      <c r="AA8" s="21" t="s">
        <v>112</v>
      </c>
      <c r="AB8" s="21" t="s">
        <v>157</v>
      </c>
      <c r="AC8" s="21" t="s">
        <v>158</v>
      </c>
      <c r="AE8" s="23" t="s">
        <v>115</v>
      </c>
      <c r="AF8" s="44"/>
      <c r="AG8" s="23" t="s">
        <v>116</v>
      </c>
      <c r="AH8" s="44"/>
      <c r="AI8" s="25" t="s">
        <v>117</v>
      </c>
      <c r="AJ8" s="44"/>
      <c r="AK8" s="25" t="s">
        <v>117</v>
      </c>
      <c r="AL8" s="22">
        <v>0</v>
      </c>
      <c r="AM8" s="23" t="s">
        <v>115</v>
      </c>
      <c r="AN8" s="44"/>
      <c r="AO8" s="25" t="s">
        <v>117</v>
      </c>
      <c r="AP8" s="45" t="s">
        <v>118</v>
      </c>
      <c r="AQ8" s="23" t="s">
        <v>115</v>
      </c>
      <c r="AR8" s="46"/>
      <c r="AS8" s="23" t="s">
        <v>117</v>
      </c>
      <c r="AT8" s="45" t="s">
        <v>118</v>
      </c>
      <c r="AU8" s="23" t="s">
        <v>116</v>
      </c>
      <c r="AV8" s="45" t="s">
        <v>118</v>
      </c>
      <c r="AW8" s="23" t="s">
        <v>115</v>
      </c>
      <c r="AX8" s="45" t="s">
        <v>118</v>
      </c>
      <c r="AY8" s="23" t="s">
        <v>115</v>
      </c>
      <c r="AZ8" s="45" t="s">
        <v>118</v>
      </c>
      <c r="BA8" s="23" t="s">
        <v>115</v>
      </c>
      <c r="BB8" s="46"/>
      <c r="BC8" s="23" t="s">
        <v>115</v>
      </c>
      <c r="BD8" s="45" t="s">
        <v>118</v>
      </c>
      <c r="BE8" s="23" t="s">
        <v>115</v>
      </c>
      <c r="BF8" s="45" t="s">
        <v>118</v>
      </c>
      <c r="BG8" s="23" t="s">
        <v>115</v>
      </c>
      <c r="BH8" s="46"/>
      <c r="BI8" s="25" t="s">
        <v>117</v>
      </c>
      <c r="BJ8" s="46"/>
      <c r="BK8" s="25" t="s">
        <v>117</v>
      </c>
      <c r="BL8" s="46"/>
      <c r="BM8" s="25" t="s">
        <v>117</v>
      </c>
      <c r="BN8" s="46"/>
      <c r="BO8" s="25" t="s">
        <v>117</v>
      </c>
      <c r="BP8" s="46"/>
      <c r="BQ8" s="25" t="s">
        <v>117</v>
      </c>
      <c r="BR8" s="47">
        <v>12000</v>
      </c>
      <c r="BS8" s="25" t="s">
        <v>115</v>
      </c>
      <c r="BT8" s="46"/>
      <c r="BU8" s="25" t="s">
        <v>117</v>
      </c>
      <c r="BV8" s="46"/>
      <c r="BW8" s="25" t="s">
        <v>117</v>
      </c>
      <c r="BX8" s="46"/>
      <c r="BY8" s="25" t="s">
        <v>117</v>
      </c>
      <c r="BZ8" s="46"/>
      <c r="CA8" s="25" t="s">
        <v>117</v>
      </c>
      <c r="CB8" s="45" t="s">
        <v>159</v>
      </c>
      <c r="CC8" s="25" t="s">
        <v>116</v>
      </c>
      <c r="CD8" s="46"/>
      <c r="CE8" s="25" t="s">
        <v>117</v>
      </c>
      <c r="CF8" s="46"/>
      <c r="CG8" s="25" t="s">
        <v>117</v>
      </c>
      <c r="CH8" s="151">
        <v>5000</v>
      </c>
      <c r="CI8" s="25" t="s">
        <v>116</v>
      </c>
      <c r="CJ8" s="151">
        <v>2500</v>
      </c>
      <c r="CK8" s="23" t="s">
        <v>116</v>
      </c>
      <c r="CL8" s="46">
        <v>1500</v>
      </c>
      <c r="CM8" s="48" t="s">
        <v>116</v>
      </c>
      <c r="CN8" s="46">
        <v>1500</v>
      </c>
      <c r="CO8" s="25" t="s">
        <v>116</v>
      </c>
      <c r="CP8" s="30">
        <v>400</v>
      </c>
      <c r="CQ8" s="23" t="s">
        <v>115</v>
      </c>
      <c r="CR8" s="30">
        <v>300</v>
      </c>
      <c r="CS8" s="23" t="s">
        <v>115</v>
      </c>
      <c r="CT8" s="30">
        <v>125</v>
      </c>
      <c r="CU8" s="23" t="s">
        <v>115</v>
      </c>
      <c r="CV8" s="32"/>
      <c r="CW8" s="23" t="s">
        <v>117</v>
      </c>
      <c r="CX8" s="32"/>
      <c r="CY8" s="25" t="s">
        <v>117</v>
      </c>
      <c r="CZ8" s="32"/>
      <c r="DA8" s="25" t="s">
        <v>117</v>
      </c>
      <c r="DB8" s="33" t="s">
        <v>120</v>
      </c>
      <c r="DC8" s="25" t="s">
        <v>116</v>
      </c>
      <c r="DD8" s="34">
        <f t="shared" si="0"/>
        <v>1374</v>
      </c>
      <c r="DE8" t="s">
        <v>160</v>
      </c>
      <c r="DF8" t="str">
        <f t="shared" si="1"/>
        <v>Bahamas#Fund#Bahamas Ltd</v>
      </c>
      <c r="DG8" t="b">
        <f t="shared" si="2"/>
        <v>1</v>
      </c>
    </row>
    <row r="9" spans="1:111" ht="78.75" customHeight="1" x14ac:dyDescent="0.35">
      <c r="A9" s="35" t="s">
        <v>86</v>
      </c>
      <c r="B9" s="18" t="s">
        <v>87</v>
      </c>
      <c r="C9" s="35" t="s">
        <v>141</v>
      </c>
      <c r="D9" s="36" t="s">
        <v>161</v>
      </c>
      <c r="E9" s="35" t="s">
        <v>90</v>
      </c>
      <c r="F9" s="20" t="s">
        <v>162</v>
      </c>
      <c r="G9" s="20" t="s">
        <v>163</v>
      </c>
      <c r="H9" s="20" t="s">
        <v>145</v>
      </c>
      <c r="I9" s="20" t="s">
        <v>146</v>
      </c>
      <c r="J9" s="20" t="s">
        <v>95</v>
      </c>
      <c r="K9" s="20" t="s">
        <v>96</v>
      </c>
      <c r="L9" s="20" t="s">
        <v>97</v>
      </c>
      <c r="M9" s="20" t="s">
        <v>98</v>
      </c>
      <c r="N9" s="20" t="s">
        <v>147</v>
      </c>
      <c r="O9" s="20" t="s">
        <v>148</v>
      </c>
      <c r="P9" s="20" t="s">
        <v>149</v>
      </c>
      <c r="Q9" s="20" t="s">
        <v>150</v>
      </c>
      <c r="R9" s="20" t="s">
        <v>151</v>
      </c>
      <c r="S9" s="20" t="s">
        <v>152</v>
      </c>
      <c r="T9" s="20" t="s">
        <v>153</v>
      </c>
      <c r="U9" s="20" t="s">
        <v>154</v>
      </c>
      <c r="V9" s="21" t="s">
        <v>155</v>
      </c>
      <c r="W9" s="21" t="s">
        <v>108</v>
      </c>
      <c r="X9" s="21" t="s">
        <v>164</v>
      </c>
      <c r="Y9" s="21" t="s">
        <v>165</v>
      </c>
      <c r="Z9" s="21" t="s">
        <v>111</v>
      </c>
      <c r="AA9" s="21" t="s">
        <v>166</v>
      </c>
      <c r="AB9" s="21" t="s">
        <v>167</v>
      </c>
      <c r="AC9" s="21" t="s">
        <v>168</v>
      </c>
      <c r="AE9" s="23" t="s">
        <v>115</v>
      </c>
      <c r="AF9" s="38"/>
      <c r="AG9" s="23" t="s">
        <v>116</v>
      </c>
      <c r="AH9" s="38"/>
      <c r="AI9" s="25" t="s">
        <v>117</v>
      </c>
      <c r="AJ9" s="38"/>
      <c r="AK9" s="25" t="s">
        <v>117</v>
      </c>
      <c r="AL9" s="22">
        <v>0</v>
      </c>
      <c r="AM9" s="23" t="s">
        <v>115</v>
      </c>
      <c r="AN9" s="38"/>
      <c r="AO9" s="25" t="s">
        <v>117</v>
      </c>
      <c r="AP9" s="39" t="s">
        <v>118</v>
      </c>
      <c r="AQ9" s="23" t="s">
        <v>115</v>
      </c>
      <c r="AR9" s="40"/>
      <c r="AS9" s="23" t="s">
        <v>117</v>
      </c>
      <c r="AT9" s="39" t="s">
        <v>118</v>
      </c>
      <c r="AU9" s="23" t="s">
        <v>116</v>
      </c>
      <c r="AV9" s="39" t="s">
        <v>118</v>
      </c>
      <c r="AW9" s="23" t="s">
        <v>115</v>
      </c>
      <c r="AX9" s="39" t="s">
        <v>118</v>
      </c>
      <c r="AY9" s="23" t="s">
        <v>115</v>
      </c>
      <c r="AZ9" s="39" t="s">
        <v>118</v>
      </c>
      <c r="BA9" s="23" t="s">
        <v>115</v>
      </c>
      <c r="BB9" s="40"/>
      <c r="BC9" s="23" t="s">
        <v>115</v>
      </c>
      <c r="BD9" s="39" t="s">
        <v>118</v>
      </c>
      <c r="BE9" s="23" t="s">
        <v>115</v>
      </c>
      <c r="BF9" s="39" t="s">
        <v>118</v>
      </c>
      <c r="BG9" s="23" t="s">
        <v>115</v>
      </c>
      <c r="BH9" s="40"/>
      <c r="BI9" s="25" t="s">
        <v>117</v>
      </c>
      <c r="BJ9" s="40"/>
      <c r="BK9" s="25" t="s">
        <v>117</v>
      </c>
      <c r="BL9" s="40"/>
      <c r="BM9" s="25" t="s">
        <v>117</v>
      </c>
      <c r="BN9" s="40"/>
      <c r="BO9" s="25" t="s">
        <v>117</v>
      </c>
      <c r="BP9" s="40"/>
      <c r="BQ9" s="25" t="s">
        <v>117</v>
      </c>
      <c r="BR9" s="37">
        <v>12000</v>
      </c>
      <c r="BS9" s="25" t="s">
        <v>115</v>
      </c>
      <c r="BT9" s="40"/>
      <c r="BU9" s="25" t="s">
        <v>117</v>
      </c>
      <c r="BV9" s="40"/>
      <c r="BW9" s="25" t="s">
        <v>117</v>
      </c>
      <c r="BX9" s="40"/>
      <c r="BY9" s="25" t="s">
        <v>117</v>
      </c>
      <c r="BZ9" s="46"/>
      <c r="CA9" s="25" t="s">
        <v>117</v>
      </c>
      <c r="CB9" s="45" t="s">
        <v>159</v>
      </c>
      <c r="CC9" s="25" t="s">
        <v>116</v>
      </c>
      <c r="CD9" s="40"/>
      <c r="CE9" s="25" t="s">
        <v>117</v>
      </c>
      <c r="CF9" s="40"/>
      <c r="CG9" s="25" t="s">
        <v>117</v>
      </c>
      <c r="CH9" s="151">
        <v>5000</v>
      </c>
      <c r="CI9" s="25" t="s">
        <v>116</v>
      </c>
      <c r="CJ9" s="151">
        <v>2500</v>
      </c>
      <c r="CK9" s="23" t="s">
        <v>116</v>
      </c>
      <c r="CL9" s="46">
        <v>1500</v>
      </c>
      <c r="CM9" s="48" t="s">
        <v>116</v>
      </c>
      <c r="CN9" s="46">
        <v>1500</v>
      </c>
      <c r="CO9" s="25" t="s">
        <v>116</v>
      </c>
      <c r="CP9" s="30">
        <v>400</v>
      </c>
      <c r="CQ9" s="23" t="s">
        <v>115</v>
      </c>
      <c r="CR9" s="30">
        <v>300</v>
      </c>
      <c r="CS9" s="23" t="s">
        <v>115</v>
      </c>
      <c r="CT9" s="30">
        <v>125</v>
      </c>
      <c r="CU9" s="23" t="s">
        <v>115</v>
      </c>
      <c r="CV9" s="32"/>
      <c r="CW9" s="23" t="s">
        <v>117</v>
      </c>
      <c r="CX9" s="32"/>
      <c r="CY9" s="25" t="s">
        <v>117</v>
      </c>
      <c r="CZ9" s="32"/>
      <c r="DA9" s="25" t="s">
        <v>117</v>
      </c>
      <c r="DB9" s="33" t="s">
        <v>120</v>
      </c>
      <c r="DC9" s="25" t="s">
        <v>116</v>
      </c>
      <c r="DD9" s="34">
        <f t="shared" si="0"/>
        <v>1374</v>
      </c>
      <c r="DE9" t="s">
        <v>169</v>
      </c>
      <c r="DF9" t="str">
        <f t="shared" si="1"/>
        <v>Bahamas#Fund#Bahamas Exempt LP</v>
      </c>
      <c r="DG9" t="b">
        <f t="shared" si="2"/>
        <v>1</v>
      </c>
    </row>
    <row r="10" spans="1:111" ht="78.75" customHeight="1" x14ac:dyDescent="0.35">
      <c r="A10" s="42" t="s">
        <v>86</v>
      </c>
      <c r="B10" s="18" t="s">
        <v>87</v>
      </c>
      <c r="C10" s="42" t="s">
        <v>141</v>
      </c>
      <c r="D10" s="43" t="s">
        <v>170</v>
      </c>
      <c r="E10" s="42" t="s">
        <v>90</v>
      </c>
      <c r="F10" s="20" t="s">
        <v>171</v>
      </c>
      <c r="G10" s="20" t="s">
        <v>172</v>
      </c>
      <c r="H10" s="20" t="s">
        <v>145</v>
      </c>
      <c r="I10" s="20" t="s">
        <v>146</v>
      </c>
      <c r="J10" s="20" t="s">
        <v>95</v>
      </c>
      <c r="K10" s="20" t="s">
        <v>96</v>
      </c>
      <c r="L10" s="20" t="s">
        <v>97</v>
      </c>
      <c r="M10" s="20" t="s">
        <v>98</v>
      </c>
      <c r="N10" s="20" t="s">
        <v>147</v>
      </c>
      <c r="O10" s="20" t="s">
        <v>148</v>
      </c>
      <c r="P10" s="20" t="s">
        <v>149</v>
      </c>
      <c r="Q10" s="20" t="s">
        <v>150</v>
      </c>
      <c r="R10" s="20" t="s">
        <v>151</v>
      </c>
      <c r="S10" s="20" t="s">
        <v>152</v>
      </c>
      <c r="T10" s="20" t="s">
        <v>153</v>
      </c>
      <c r="U10" s="20" t="s">
        <v>154</v>
      </c>
      <c r="V10" s="21" t="s">
        <v>155</v>
      </c>
      <c r="W10" s="21" t="s">
        <v>108</v>
      </c>
      <c r="X10" s="21" t="s">
        <v>136</v>
      </c>
      <c r="Y10" s="21" t="s">
        <v>156</v>
      </c>
      <c r="Z10" s="21" t="s">
        <v>111</v>
      </c>
      <c r="AA10" s="21" t="s">
        <v>173</v>
      </c>
      <c r="AB10" s="21" t="s">
        <v>174</v>
      </c>
      <c r="AC10" s="21" t="s">
        <v>175</v>
      </c>
      <c r="AE10" s="23" t="s">
        <v>115</v>
      </c>
      <c r="AF10" s="44"/>
      <c r="AG10" s="23" t="s">
        <v>116</v>
      </c>
      <c r="AH10" s="44"/>
      <c r="AI10" s="25" t="s">
        <v>117</v>
      </c>
      <c r="AJ10" s="44"/>
      <c r="AK10" s="25" t="s">
        <v>117</v>
      </c>
      <c r="AL10" s="22">
        <v>0</v>
      </c>
      <c r="AM10" s="23" t="s">
        <v>115</v>
      </c>
      <c r="AN10" s="44"/>
      <c r="AO10" s="25" t="s">
        <v>117</v>
      </c>
      <c r="AP10" s="45" t="s">
        <v>118</v>
      </c>
      <c r="AQ10" s="23" t="s">
        <v>115</v>
      </c>
      <c r="AR10" s="46"/>
      <c r="AS10" s="23" t="s">
        <v>117</v>
      </c>
      <c r="AT10" s="45" t="s">
        <v>118</v>
      </c>
      <c r="AU10" s="23" t="s">
        <v>116</v>
      </c>
      <c r="AV10" s="45" t="s">
        <v>118</v>
      </c>
      <c r="AW10" s="23" t="s">
        <v>115</v>
      </c>
      <c r="AX10" s="45" t="s">
        <v>118</v>
      </c>
      <c r="AY10" s="23" t="s">
        <v>115</v>
      </c>
      <c r="AZ10" s="45" t="s">
        <v>118</v>
      </c>
      <c r="BA10" s="23" t="s">
        <v>115</v>
      </c>
      <c r="BB10" s="46"/>
      <c r="BC10" s="23" t="s">
        <v>115</v>
      </c>
      <c r="BD10" s="45" t="s">
        <v>118</v>
      </c>
      <c r="BE10" s="23" t="s">
        <v>115</v>
      </c>
      <c r="BF10" s="45" t="s">
        <v>118</v>
      </c>
      <c r="BG10" s="23" t="s">
        <v>115</v>
      </c>
      <c r="BH10" s="46"/>
      <c r="BI10" s="25" t="s">
        <v>117</v>
      </c>
      <c r="BJ10" s="46"/>
      <c r="BK10" s="25" t="s">
        <v>117</v>
      </c>
      <c r="BL10" s="46"/>
      <c r="BM10" s="25" t="s">
        <v>117</v>
      </c>
      <c r="BN10" s="46"/>
      <c r="BO10" s="25" t="s">
        <v>117</v>
      </c>
      <c r="BP10" s="46"/>
      <c r="BQ10" s="25" t="s">
        <v>117</v>
      </c>
      <c r="BR10" s="47">
        <v>12000</v>
      </c>
      <c r="BS10" s="25" t="s">
        <v>115</v>
      </c>
      <c r="BT10" s="46"/>
      <c r="BU10" s="25" t="s">
        <v>117</v>
      </c>
      <c r="BV10" s="46"/>
      <c r="BW10" s="25" t="s">
        <v>117</v>
      </c>
      <c r="BX10" s="46"/>
      <c r="BY10" s="25" t="s">
        <v>117</v>
      </c>
      <c r="BZ10" s="46"/>
      <c r="CA10" s="25" t="s">
        <v>117</v>
      </c>
      <c r="CB10" s="45" t="s">
        <v>159</v>
      </c>
      <c r="CC10" s="25" t="s">
        <v>116</v>
      </c>
      <c r="CD10" s="46"/>
      <c r="CE10" s="25" t="s">
        <v>117</v>
      </c>
      <c r="CF10" s="46"/>
      <c r="CG10" s="25" t="s">
        <v>117</v>
      </c>
      <c r="CH10" s="151">
        <v>5000</v>
      </c>
      <c r="CI10" s="25" t="s">
        <v>116</v>
      </c>
      <c r="CJ10" s="151">
        <v>2500</v>
      </c>
      <c r="CK10" s="48" t="s">
        <v>116</v>
      </c>
      <c r="CL10" s="46">
        <v>1500</v>
      </c>
      <c r="CM10" s="48" t="s">
        <v>116</v>
      </c>
      <c r="CN10" s="46">
        <v>1500</v>
      </c>
      <c r="CO10" s="25" t="s">
        <v>116</v>
      </c>
      <c r="CP10" s="30">
        <v>400</v>
      </c>
      <c r="CQ10" s="23" t="s">
        <v>115</v>
      </c>
      <c r="CR10" s="30">
        <v>300</v>
      </c>
      <c r="CS10" s="23" t="s">
        <v>115</v>
      </c>
      <c r="CT10" s="30">
        <v>125</v>
      </c>
      <c r="CU10" s="23" t="s">
        <v>115</v>
      </c>
      <c r="CV10" s="32"/>
      <c r="CW10" s="23" t="s">
        <v>117</v>
      </c>
      <c r="CX10" s="32"/>
      <c r="CY10" s="25" t="s">
        <v>117</v>
      </c>
      <c r="CZ10" s="32"/>
      <c r="DA10" s="25" t="s">
        <v>117</v>
      </c>
      <c r="DB10" s="33" t="s">
        <v>120</v>
      </c>
      <c r="DC10" s="25" t="s">
        <v>116</v>
      </c>
      <c r="DD10" s="34">
        <f t="shared" si="0"/>
        <v>1374</v>
      </c>
      <c r="DE10" t="s">
        <v>176</v>
      </c>
      <c r="DF10" t="str">
        <f t="shared" si="1"/>
        <v>Bahamas#Fund#Bahamas Unit Trust</v>
      </c>
      <c r="DG10" t="b">
        <f t="shared" si="2"/>
        <v>1</v>
      </c>
    </row>
    <row r="11" spans="1:111" ht="78.75" customHeight="1" x14ac:dyDescent="0.35">
      <c r="A11" s="35" t="s">
        <v>86</v>
      </c>
      <c r="B11" s="18" t="s">
        <v>87</v>
      </c>
      <c r="C11" s="35" t="s">
        <v>141</v>
      </c>
      <c r="D11" s="36" t="s">
        <v>177</v>
      </c>
      <c r="E11" s="35" t="s">
        <v>90</v>
      </c>
      <c r="F11" s="20" t="s">
        <v>178</v>
      </c>
      <c r="G11" s="20" t="s">
        <v>179</v>
      </c>
      <c r="H11" s="20" t="s">
        <v>145</v>
      </c>
      <c r="I11" s="20" t="s">
        <v>146</v>
      </c>
      <c r="J11" s="20" t="s">
        <v>95</v>
      </c>
      <c r="K11" s="20" t="s">
        <v>96</v>
      </c>
      <c r="L11" s="20" t="s">
        <v>97</v>
      </c>
      <c r="M11" s="20" t="s">
        <v>98</v>
      </c>
      <c r="N11" s="20" t="s">
        <v>147</v>
      </c>
      <c r="O11" s="20" t="s">
        <v>148</v>
      </c>
      <c r="P11" s="20" t="s">
        <v>149</v>
      </c>
      <c r="Q11" s="20" t="s">
        <v>150</v>
      </c>
      <c r="R11" s="20" t="s">
        <v>151</v>
      </c>
      <c r="S11" s="20" t="s">
        <v>152</v>
      </c>
      <c r="T11" s="20" t="s">
        <v>153</v>
      </c>
      <c r="U11" s="20" t="s">
        <v>154</v>
      </c>
      <c r="V11" s="21" t="s">
        <v>180</v>
      </c>
      <c r="W11" s="21" t="s">
        <v>108</v>
      </c>
      <c r="X11" s="21" t="s">
        <v>181</v>
      </c>
      <c r="Y11" s="21" t="s">
        <v>182</v>
      </c>
      <c r="Z11" s="21" t="s">
        <v>111</v>
      </c>
      <c r="AA11" s="21" t="s">
        <v>112</v>
      </c>
      <c r="AB11" s="21" t="s">
        <v>183</v>
      </c>
      <c r="AC11" s="21" t="s">
        <v>184</v>
      </c>
      <c r="AE11" s="23" t="s">
        <v>115</v>
      </c>
      <c r="AF11" s="38"/>
      <c r="AG11" s="23" t="s">
        <v>116</v>
      </c>
      <c r="AH11" s="38"/>
      <c r="AI11" s="25" t="s">
        <v>117</v>
      </c>
      <c r="AJ11" s="38"/>
      <c r="AK11" s="25" t="s">
        <v>117</v>
      </c>
      <c r="AL11" s="22">
        <v>0</v>
      </c>
      <c r="AM11" s="23" t="s">
        <v>115</v>
      </c>
      <c r="AN11" s="38"/>
      <c r="AO11" s="25" t="s">
        <v>117</v>
      </c>
      <c r="AP11" s="39" t="s">
        <v>118</v>
      </c>
      <c r="AQ11" s="23" t="s">
        <v>115</v>
      </c>
      <c r="AR11" s="40"/>
      <c r="AS11" s="23" t="s">
        <v>117</v>
      </c>
      <c r="AT11" s="39" t="s">
        <v>118</v>
      </c>
      <c r="AU11" s="23" t="s">
        <v>116</v>
      </c>
      <c r="AV11" s="39" t="s">
        <v>118</v>
      </c>
      <c r="AW11" s="23" t="s">
        <v>115</v>
      </c>
      <c r="AX11" s="39" t="s">
        <v>118</v>
      </c>
      <c r="AY11" s="23" t="s">
        <v>115</v>
      </c>
      <c r="AZ11" s="39" t="s">
        <v>118</v>
      </c>
      <c r="BA11" s="23" t="s">
        <v>115</v>
      </c>
      <c r="BB11" s="40"/>
      <c r="BC11" s="23" t="s">
        <v>115</v>
      </c>
      <c r="BD11" s="39" t="s">
        <v>118</v>
      </c>
      <c r="BE11" s="23" t="s">
        <v>115</v>
      </c>
      <c r="BF11" s="39" t="s">
        <v>118</v>
      </c>
      <c r="BG11" s="23" t="s">
        <v>115</v>
      </c>
      <c r="BH11" s="40"/>
      <c r="BI11" s="25" t="s">
        <v>117</v>
      </c>
      <c r="BJ11" s="40"/>
      <c r="BK11" s="25" t="s">
        <v>117</v>
      </c>
      <c r="BL11" s="40"/>
      <c r="BM11" s="25" t="s">
        <v>117</v>
      </c>
      <c r="BN11" s="40"/>
      <c r="BO11" s="25" t="s">
        <v>117</v>
      </c>
      <c r="BP11" s="40"/>
      <c r="BQ11" s="25" t="s">
        <v>117</v>
      </c>
      <c r="BR11" s="37">
        <v>12000</v>
      </c>
      <c r="BS11" s="25" t="s">
        <v>115</v>
      </c>
      <c r="BT11" s="40"/>
      <c r="BU11" s="25" t="s">
        <v>117</v>
      </c>
      <c r="BV11" s="40"/>
      <c r="BW11" s="25" t="s">
        <v>117</v>
      </c>
      <c r="BX11" s="40"/>
      <c r="BY11" s="25" t="s">
        <v>117</v>
      </c>
      <c r="BZ11" s="46"/>
      <c r="CA11" s="25" t="s">
        <v>117</v>
      </c>
      <c r="CB11" s="45" t="s">
        <v>159</v>
      </c>
      <c r="CC11" s="25" t="s">
        <v>116</v>
      </c>
      <c r="CD11" s="40"/>
      <c r="CE11" s="25" t="s">
        <v>117</v>
      </c>
      <c r="CF11" s="40"/>
      <c r="CG11" s="25" t="s">
        <v>117</v>
      </c>
      <c r="CH11" s="151">
        <v>5000</v>
      </c>
      <c r="CI11" s="25" t="s">
        <v>116</v>
      </c>
      <c r="CJ11" s="151">
        <v>2500</v>
      </c>
      <c r="CK11" s="48" t="s">
        <v>116</v>
      </c>
      <c r="CL11" s="46">
        <v>1500</v>
      </c>
      <c r="CM11" s="48" t="s">
        <v>116</v>
      </c>
      <c r="CN11" s="46">
        <v>1500</v>
      </c>
      <c r="CO11" s="25" t="s">
        <v>116</v>
      </c>
      <c r="CP11" s="30">
        <v>400</v>
      </c>
      <c r="CQ11" s="23" t="s">
        <v>115</v>
      </c>
      <c r="CR11" s="30">
        <v>300</v>
      </c>
      <c r="CS11" s="23" t="s">
        <v>115</v>
      </c>
      <c r="CT11" s="30">
        <v>125</v>
      </c>
      <c r="CU11" s="23" t="s">
        <v>115</v>
      </c>
      <c r="CV11" s="32"/>
      <c r="CW11" s="23" t="s">
        <v>117</v>
      </c>
      <c r="CX11" s="32"/>
      <c r="CY11" s="25" t="s">
        <v>117</v>
      </c>
      <c r="CZ11" s="32"/>
      <c r="DA11" s="25" t="s">
        <v>117</v>
      </c>
      <c r="DB11" s="33" t="s">
        <v>120</v>
      </c>
      <c r="DC11" s="25" t="s">
        <v>116</v>
      </c>
      <c r="DD11" s="34">
        <f t="shared" si="0"/>
        <v>1374</v>
      </c>
      <c r="DE11" t="s">
        <v>185</v>
      </c>
      <c r="DF11" t="str">
        <f t="shared" si="1"/>
        <v>Bahamas#Fund#Bahamas SAC</v>
      </c>
      <c r="DG11" t="b">
        <f t="shared" si="2"/>
        <v>1</v>
      </c>
    </row>
    <row r="12" spans="1:111" ht="78.75" customHeight="1" x14ac:dyDescent="0.35">
      <c r="A12" s="42" t="s">
        <v>86</v>
      </c>
      <c r="B12" s="18" t="s">
        <v>87</v>
      </c>
      <c r="C12" s="42" t="s">
        <v>141</v>
      </c>
      <c r="D12" s="43" t="s">
        <v>186</v>
      </c>
      <c r="E12" s="42" t="s">
        <v>90</v>
      </c>
      <c r="F12" s="20" t="s">
        <v>187</v>
      </c>
      <c r="G12" s="20" t="s">
        <v>188</v>
      </c>
      <c r="H12" s="20" t="s">
        <v>145</v>
      </c>
      <c r="I12" s="20" t="s">
        <v>146</v>
      </c>
      <c r="J12" s="20" t="s">
        <v>95</v>
      </c>
      <c r="K12" s="20" t="s">
        <v>96</v>
      </c>
      <c r="L12" s="20" t="s">
        <v>97</v>
      </c>
      <c r="M12" s="20" t="s">
        <v>98</v>
      </c>
      <c r="N12" s="20" t="s">
        <v>147</v>
      </c>
      <c r="O12" s="20" t="s">
        <v>148</v>
      </c>
      <c r="P12" s="20" t="s">
        <v>149</v>
      </c>
      <c r="Q12" s="20" t="s">
        <v>150</v>
      </c>
      <c r="R12" s="20" t="s">
        <v>151</v>
      </c>
      <c r="S12" s="20" t="s">
        <v>152</v>
      </c>
      <c r="T12" s="20" t="s">
        <v>153</v>
      </c>
      <c r="U12" s="20" t="s">
        <v>154</v>
      </c>
      <c r="V12" s="21" t="s">
        <v>155</v>
      </c>
      <c r="W12" s="21" t="s">
        <v>108</v>
      </c>
      <c r="X12" s="21" t="s">
        <v>189</v>
      </c>
      <c r="Y12" s="21" t="s">
        <v>190</v>
      </c>
      <c r="Z12" s="21" t="s">
        <v>111</v>
      </c>
      <c r="AA12" s="21" t="s">
        <v>191</v>
      </c>
      <c r="AB12" s="21" t="s">
        <v>192</v>
      </c>
      <c r="AC12" s="21" t="s">
        <v>193</v>
      </c>
      <c r="AE12" s="23" t="s">
        <v>115</v>
      </c>
      <c r="AF12" s="44"/>
      <c r="AG12" s="23" t="s">
        <v>116</v>
      </c>
      <c r="AH12" s="44"/>
      <c r="AI12" s="25" t="s">
        <v>117</v>
      </c>
      <c r="AJ12" s="44"/>
      <c r="AK12" s="25" t="s">
        <v>117</v>
      </c>
      <c r="AL12" s="22">
        <v>0</v>
      </c>
      <c r="AM12" s="23" t="s">
        <v>115</v>
      </c>
      <c r="AN12" s="44"/>
      <c r="AO12" s="25" t="s">
        <v>117</v>
      </c>
      <c r="AP12" s="45" t="s">
        <v>118</v>
      </c>
      <c r="AQ12" s="23" t="s">
        <v>115</v>
      </c>
      <c r="AR12" s="46"/>
      <c r="AS12" s="23" t="s">
        <v>117</v>
      </c>
      <c r="AT12" s="45" t="s">
        <v>118</v>
      </c>
      <c r="AU12" s="23" t="s">
        <v>116</v>
      </c>
      <c r="AV12" s="45" t="s">
        <v>118</v>
      </c>
      <c r="AW12" s="23" t="s">
        <v>115</v>
      </c>
      <c r="AX12" s="45" t="s">
        <v>118</v>
      </c>
      <c r="AY12" s="23" t="s">
        <v>115</v>
      </c>
      <c r="AZ12" s="45" t="s">
        <v>118</v>
      </c>
      <c r="BA12" s="23" t="s">
        <v>115</v>
      </c>
      <c r="BB12" s="46"/>
      <c r="BC12" s="23" t="s">
        <v>115</v>
      </c>
      <c r="BD12" s="45" t="s">
        <v>118</v>
      </c>
      <c r="BE12" s="23" t="s">
        <v>115</v>
      </c>
      <c r="BF12" s="45" t="s">
        <v>118</v>
      </c>
      <c r="BG12" s="23" t="s">
        <v>115</v>
      </c>
      <c r="BH12" s="46"/>
      <c r="BI12" s="25" t="s">
        <v>117</v>
      </c>
      <c r="BJ12" s="46"/>
      <c r="BK12" s="25" t="s">
        <v>117</v>
      </c>
      <c r="BL12" s="46"/>
      <c r="BM12" s="25" t="s">
        <v>117</v>
      </c>
      <c r="BN12" s="46"/>
      <c r="BO12" s="25" t="s">
        <v>117</v>
      </c>
      <c r="BP12" s="46"/>
      <c r="BQ12" s="25" t="s">
        <v>117</v>
      </c>
      <c r="BR12" s="47">
        <v>12000</v>
      </c>
      <c r="BS12" s="25" t="s">
        <v>115</v>
      </c>
      <c r="BT12" s="46"/>
      <c r="BU12" s="25" t="s">
        <v>117</v>
      </c>
      <c r="BV12" s="46"/>
      <c r="BW12" s="25" t="s">
        <v>117</v>
      </c>
      <c r="BX12" s="46"/>
      <c r="BY12" s="25" t="s">
        <v>117</v>
      </c>
      <c r="BZ12" s="46"/>
      <c r="CA12" s="25" t="s">
        <v>117</v>
      </c>
      <c r="CB12" s="45" t="s">
        <v>159</v>
      </c>
      <c r="CC12" s="25" t="s">
        <v>116</v>
      </c>
      <c r="CD12" s="46"/>
      <c r="CE12" s="25" t="s">
        <v>117</v>
      </c>
      <c r="CF12" s="46"/>
      <c r="CG12" s="25" t="s">
        <v>117</v>
      </c>
      <c r="CH12" s="151">
        <v>5000</v>
      </c>
      <c r="CI12" s="25" t="s">
        <v>116</v>
      </c>
      <c r="CJ12" s="151">
        <v>2500</v>
      </c>
      <c r="CK12" s="48" t="s">
        <v>116</v>
      </c>
      <c r="CL12" s="46">
        <v>1500</v>
      </c>
      <c r="CM12" s="48" t="s">
        <v>116</v>
      </c>
      <c r="CN12" s="46">
        <v>1500</v>
      </c>
      <c r="CO12" s="25" t="s">
        <v>116</v>
      </c>
      <c r="CP12" s="30">
        <v>400</v>
      </c>
      <c r="CQ12" s="23" t="s">
        <v>115</v>
      </c>
      <c r="CR12" s="30">
        <v>300</v>
      </c>
      <c r="CS12" s="23" t="s">
        <v>115</v>
      </c>
      <c r="CT12" s="30">
        <v>125</v>
      </c>
      <c r="CU12" s="23" t="s">
        <v>115</v>
      </c>
      <c r="CV12" s="32"/>
      <c r="CW12" s="23" t="s">
        <v>117</v>
      </c>
      <c r="CX12" s="32"/>
      <c r="CY12" s="25" t="s">
        <v>117</v>
      </c>
      <c r="CZ12" s="32"/>
      <c r="DA12" s="25" t="s">
        <v>117</v>
      </c>
      <c r="DB12" s="33" t="s">
        <v>120</v>
      </c>
      <c r="DC12" s="25" t="s">
        <v>116</v>
      </c>
      <c r="DD12" s="34">
        <f t="shared" si="0"/>
        <v>1374</v>
      </c>
      <c r="DE12" t="s">
        <v>194</v>
      </c>
      <c r="DF12" t="str">
        <f t="shared" si="1"/>
        <v>Bahamas#Fund#Bahamas ICON</v>
      </c>
      <c r="DG12" t="b">
        <f t="shared" si="2"/>
        <v>1</v>
      </c>
    </row>
    <row r="13" spans="1:111" ht="15" hidden="1" customHeight="1" x14ac:dyDescent="0.35">
      <c r="A13" s="184" t="s">
        <v>195</v>
      </c>
      <c r="B13" s="184"/>
      <c r="C13" s="184"/>
      <c r="D13" s="184"/>
      <c r="E13" s="184"/>
      <c r="F13" s="184"/>
      <c r="G13" s="184"/>
      <c r="H13" s="184"/>
      <c r="I13" s="184"/>
      <c r="J13" s="184"/>
      <c r="K13" s="184"/>
      <c r="L13" s="184"/>
      <c r="M13" s="184"/>
      <c r="N13" s="184"/>
      <c r="O13" s="184"/>
      <c r="P13" s="184"/>
      <c r="Q13" s="184"/>
      <c r="R13" s="184"/>
      <c r="S13" s="184"/>
      <c r="T13" s="184"/>
      <c r="U13" s="184"/>
      <c r="V13" s="184"/>
      <c r="W13" s="184"/>
      <c r="X13" s="184"/>
      <c r="Y13" s="184"/>
      <c r="Z13" s="184"/>
      <c r="AA13" s="184"/>
      <c r="AB13" s="184"/>
      <c r="AC13" s="184"/>
      <c r="AD13" s="184"/>
      <c r="AE13" s="184"/>
      <c r="AF13" s="184"/>
      <c r="AG13" s="184"/>
      <c r="AH13" s="184"/>
      <c r="AI13" s="184"/>
      <c r="AJ13" s="184"/>
      <c r="AK13" s="184"/>
      <c r="AL13" s="184"/>
      <c r="AM13" s="184"/>
      <c r="AN13" s="184"/>
      <c r="AO13" s="184"/>
      <c r="AP13" s="184"/>
      <c r="AQ13" s="184"/>
      <c r="AR13" s="184"/>
      <c r="AS13" s="184"/>
      <c r="AT13" s="184"/>
      <c r="AU13" s="184"/>
      <c r="AV13" s="184"/>
      <c r="AW13" s="184"/>
      <c r="AX13" s="184"/>
      <c r="AY13" s="184"/>
      <c r="AZ13" s="184"/>
      <c r="BA13" s="184"/>
      <c r="BB13" s="184"/>
      <c r="BC13" s="184"/>
      <c r="BD13" s="184"/>
      <c r="BE13" s="184"/>
      <c r="BF13" s="184"/>
      <c r="BG13" s="184"/>
      <c r="BH13" s="184"/>
      <c r="BI13" s="184"/>
      <c r="BJ13" s="184"/>
      <c r="BK13" s="184"/>
      <c r="BL13" s="184"/>
      <c r="BM13" s="184"/>
      <c r="BN13" s="184"/>
      <c r="BO13" s="184"/>
      <c r="BP13" s="184"/>
      <c r="BQ13" s="184"/>
      <c r="BR13" s="184"/>
      <c r="BS13" s="184"/>
      <c r="BT13" s="184"/>
      <c r="BU13" s="184"/>
      <c r="BV13" s="184"/>
      <c r="BW13" s="184"/>
      <c r="BX13" s="184"/>
      <c r="BY13" s="184"/>
      <c r="BZ13" s="184"/>
      <c r="CA13" s="184"/>
      <c r="CB13" s="184"/>
      <c r="CC13" s="184"/>
      <c r="CD13" s="184"/>
      <c r="CE13" s="184"/>
      <c r="CF13" s="184"/>
      <c r="CG13" s="184"/>
      <c r="CH13" s="184"/>
      <c r="CI13" s="184"/>
      <c r="CJ13" s="184"/>
      <c r="CK13" s="184"/>
      <c r="CL13" s="184"/>
      <c r="CM13" s="184"/>
      <c r="CN13" s="184"/>
      <c r="CO13" s="184"/>
      <c r="CP13" s="184"/>
      <c r="CQ13" s="184"/>
      <c r="CR13" s="184"/>
      <c r="CS13" s="184"/>
      <c r="CT13" s="184"/>
      <c r="CU13" s="184"/>
      <c r="CV13" s="184"/>
      <c r="CW13" s="184"/>
      <c r="CX13" s="184"/>
      <c r="CY13" s="184"/>
      <c r="CZ13" s="184"/>
      <c r="DA13" s="184"/>
      <c r="DB13" s="184"/>
      <c r="DC13" s="184"/>
      <c r="DE13" t="s">
        <v>85</v>
      </c>
      <c r="DF13" t="str">
        <f t="shared" si="1"/>
        <v xml:space="preserve">   ARGENTINA##</v>
      </c>
    </row>
    <row r="14" spans="1:111" ht="90" hidden="1" customHeight="1" x14ac:dyDescent="0.35">
      <c r="A14" s="18" t="s">
        <v>196</v>
      </c>
      <c r="B14" s="18" t="s">
        <v>197</v>
      </c>
      <c r="C14" s="18" t="s">
        <v>122</v>
      </c>
      <c r="D14" s="19" t="s">
        <v>198</v>
      </c>
      <c r="E14" s="18" t="s">
        <v>90</v>
      </c>
      <c r="F14" s="20" t="s">
        <v>199</v>
      </c>
      <c r="G14" s="20" t="s">
        <v>200</v>
      </c>
      <c r="H14" s="20" t="s">
        <v>126</v>
      </c>
      <c r="I14" s="20" t="s">
        <v>127</v>
      </c>
      <c r="J14" s="20" t="s">
        <v>201</v>
      </c>
      <c r="K14" s="20" t="s">
        <v>96</v>
      </c>
      <c r="L14" s="20" t="s">
        <v>97</v>
      </c>
      <c r="M14" s="20" t="s">
        <v>98</v>
      </c>
      <c r="N14" s="20" t="s">
        <v>128</v>
      </c>
      <c r="O14" s="20" t="s">
        <v>129</v>
      </c>
      <c r="P14" s="20" t="s">
        <v>130</v>
      </c>
      <c r="Q14" s="20" t="s">
        <v>131</v>
      </c>
      <c r="R14" s="20" t="s">
        <v>132</v>
      </c>
      <c r="S14" s="20" t="s">
        <v>133</v>
      </c>
      <c r="T14" s="20" t="s">
        <v>134</v>
      </c>
      <c r="U14" s="20" t="s">
        <v>135</v>
      </c>
      <c r="V14" s="21" t="s">
        <v>202</v>
      </c>
      <c r="W14" s="21" t="s">
        <v>203</v>
      </c>
      <c r="X14" s="21" t="s">
        <v>204</v>
      </c>
      <c r="Y14" s="21" t="s">
        <v>205</v>
      </c>
      <c r="Z14" s="21" t="s">
        <v>111</v>
      </c>
      <c r="AA14" s="21" t="s">
        <v>206</v>
      </c>
      <c r="AB14" s="21" t="s">
        <v>207</v>
      </c>
      <c r="AC14" s="21" t="s">
        <v>208</v>
      </c>
      <c r="AD14" s="22">
        <v>3500</v>
      </c>
      <c r="AE14" s="23" t="s">
        <v>115</v>
      </c>
      <c r="AF14" s="24"/>
      <c r="AG14" s="23" t="s">
        <v>116</v>
      </c>
      <c r="AH14" s="24"/>
      <c r="AI14" s="25" t="s">
        <v>117</v>
      </c>
      <c r="AJ14" s="24"/>
      <c r="AK14" s="25" t="s">
        <v>117</v>
      </c>
      <c r="AL14" s="22">
        <v>0</v>
      </c>
      <c r="AM14" s="23" t="s">
        <v>115</v>
      </c>
      <c r="AN14" s="24"/>
      <c r="AO14" s="25" t="s">
        <v>117</v>
      </c>
      <c r="AP14" s="27" t="s">
        <v>118</v>
      </c>
      <c r="AQ14" s="23" t="s">
        <v>117</v>
      </c>
      <c r="AR14" s="28"/>
      <c r="AS14" s="23" t="s">
        <v>115</v>
      </c>
      <c r="AT14" s="27" t="s">
        <v>118</v>
      </c>
      <c r="AU14" s="23" t="s">
        <v>116</v>
      </c>
      <c r="AV14" s="27" t="s">
        <v>118</v>
      </c>
      <c r="AW14" s="23" t="s">
        <v>115</v>
      </c>
      <c r="AX14" s="27" t="s">
        <v>118</v>
      </c>
      <c r="AY14" s="23" t="s">
        <v>115</v>
      </c>
      <c r="AZ14" s="27" t="s">
        <v>118</v>
      </c>
      <c r="BA14" s="23" t="s">
        <v>115</v>
      </c>
      <c r="BB14" s="28"/>
      <c r="BC14" s="23" t="s">
        <v>115</v>
      </c>
      <c r="BD14" s="27" t="s">
        <v>118</v>
      </c>
      <c r="BE14" s="23" t="s">
        <v>115</v>
      </c>
      <c r="BF14" s="27" t="s">
        <v>118</v>
      </c>
      <c r="BG14" s="23" t="s">
        <v>115</v>
      </c>
      <c r="BH14" s="28"/>
      <c r="BI14" s="25" t="s">
        <v>117</v>
      </c>
      <c r="BJ14" s="28"/>
      <c r="BK14" s="25" t="s">
        <v>117</v>
      </c>
      <c r="BL14" s="28"/>
      <c r="BM14" s="25" t="s">
        <v>117</v>
      </c>
      <c r="BN14" s="28"/>
      <c r="BO14" s="25" t="s">
        <v>117</v>
      </c>
      <c r="BP14" s="28"/>
      <c r="BQ14" s="25" t="s">
        <v>117</v>
      </c>
      <c r="BR14" s="28"/>
      <c r="BS14" s="25" t="s">
        <v>117</v>
      </c>
      <c r="BT14" s="28"/>
      <c r="BU14" s="25" t="s">
        <v>117</v>
      </c>
      <c r="BV14" s="28"/>
      <c r="BW14" s="25" t="s">
        <v>117</v>
      </c>
      <c r="BX14" s="28"/>
      <c r="BY14" s="25" t="s">
        <v>117</v>
      </c>
      <c r="BZ14" s="28"/>
      <c r="CA14" s="25" t="s">
        <v>117</v>
      </c>
      <c r="CB14" s="28"/>
      <c r="CC14" s="25" t="s">
        <v>117</v>
      </c>
      <c r="CD14" s="28"/>
      <c r="CE14" s="25" t="s">
        <v>117</v>
      </c>
      <c r="CF14" s="28"/>
      <c r="CG14" s="25" t="s">
        <v>117</v>
      </c>
      <c r="CH14" s="28"/>
      <c r="CI14" s="25"/>
      <c r="CJ14" s="28"/>
      <c r="CK14" s="29" t="s">
        <v>117</v>
      </c>
      <c r="CL14" s="28"/>
      <c r="CM14" s="29" t="s">
        <v>117</v>
      </c>
      <c r="CN14" s="28"/>
      <c r="CO14" s="25" t="s">
        <v>117</v>
      </c>
      <c r="CP14" s="30">
        <v>400</v>
      </c>
      <c r="CQ14" s="23" t="s">
        <v>115</v>
      </c>
      <c r="CR14" s="32"/>
      <c r="CS14" s="23" t="s">
        <v>117</v>
      </c>
      <c r="CT14" s="32"/>
      <c r="CU14" s="23" t="s">
        <v>117</v>
      </c>
      <c r="CV14" s="32"/>
      <c r="CW14" s="23" t="s">
        <v>117</v>
      </c>
      <c r="CX14" s="32"/>
      <c r="CY14" s="25" t="s">
        <v>117</v>
      </c>
      <c r="CZ14" s="32"/>
      <c r="DA14" s="25" t="s">
        <v>117</v>
      </c>
      <c r="DB14" s="33" t="s">
        <v>120</v>
      </c>
      <c r="DC14" s="25" t="s">
        <v>116</v>
      </c>
      <c r="DD14" s="34">
        <f>ROUND(0.075*SUM(AD14,AF14,AH14,AJ14,AL14,AN14,AP14,AR14,AT14,AV14,AX14,AZ14,BB14,BR14,BT14,BV14,BX14,BZ14,CB14,CD14,CF14,CJ14,CL14,CN14,CP14,CR14,CT14,CV14,CX14,CZ14),0)</f>
        <v>293</v>
      </c>
      <c r="DE14" t="s">
        <v>209</v>
      </c>
      <c r="DF14" t="str">
        <f t="shared" si="1"/>
        <v>Argentina#Trust#Argentina Fideicomiso de Garantía</v>
      </c>
      <c r="DG14" t="b">
        <f>DE14=DF14</f>
        <v>1</v>
      </c>
    </row>
    <row r="15" spans="1:111" ht="78.75" hidden="1" customHeight="1" x14ac:dyDescent="0.35">
      <c r="A15" s="35" t="s">
        <v>196</v>
      </c>
      <c r="B15" s="18" t="s">
        <v>197</v>
      </c>
      <c r="C15" s="35" t="s">
        <v>122</v>
      </c>
      <c r="D15" s="36" t="s">
        <v>210</v>
      </c>
      <c r="E15" s="35" t="s">
        <v>90</v>
      </c>
      <c r="F15" s="20" t="s">
        <v>124</v>
      </c>
      <c r="G15" s="20" t="s">
        <v>211</v>
      </c>
      <c r="H15" s="20" t="s">
        <v>126</v>
      </c>
      <c r="I15" s="20" t="s">
        <v>127</v>
      </c>
      <c r="J15" s="20" t="s">
        <v>201</v>
      </c>
      <c r="K15" s="20" t="s">
        <v>96</v>
      </c>
      <c r="L15" s="20" t="s">
        <v>97</v>
      </c>
      <c r="M15" s="20" t="s">
        <v>98</v>
      </c>
      <c r="N15" s="20" t="s">
        <v>128</v>
      </c>
      <c r="O15" s="20" t="s">
        <v>129</v>
      </c>
      <c r="P15" s="20" t="s">
        <v>130</v>
      </c>
      <c r="Q15" s="20" t="s">
        <v>131</v>
      </c>
      <c r="R15" s="20" t="s">
        <v>132</v>
      </c>
      <c r="S15" s="20" t="s">
        <v>133</v>
      </c>
      <c r="T15" s="20" t="s">
        <v>134</v>
      </c>
      <c r="U15" s="20" t="s">
        <v>135</v>
      </c>
      <c r="V15" s="21" t="s">
        <v>202</v>
      </c>
      <c r="W15" s="21" t="s">
        <v>203</v>
      </c>
      <c r="X15" s="21" t="s">
        <v>204</v>
      </c>
      <c r="Y15" s="21" t="s">
        <v>212</v>
      </c>
      <c r="Z15" s="21" t="s">
        <v>111</v>
      </c>
      <c r="AA15" s="21" t="s">
        <v>206</v>
      </c>
      <c r="AB15" s="21" t="s">
        <v>213</v>
      </c>
      <c r="AC15" s="21" t="s">
        <v>214</v>
      </c>
      <c r="AD15" s="37">
        <v>5000</v>
      </c>
      <c r="AE15" s="23" t="s">
        <v>115</v>
      </c>
      <c r="AF15" s="38"/>
      <c r="AG15" s="23" t="s">
        <v>116</v>
      </c>
      <c r="AH15" s="38"/>
      <c r="AI15" s="25" t="s">
        <v>117</v>
      </c>
      <c r="AJ15" s="38"/>
      <c r="AK15" s="25" t="s">
        <v>117</v>
      </c>
      <c r="AL15" s="22">
        <v>0</v>
      </c>
      <c r="AM15" s="23" t="s">
        <v>115</v>
      </c>
      <c r="AN15" s="38"/>
      <c r="AO15" s="25" t="s">
        <v>117</v>
      </c>
      <c r="AQ15" s="23" t="s">
        <v>117</v>
      </c>
      <c r="AR15" s="37">
        <v>4000</v>
      </c>
      <c r="AS15" s="23" t="s">
        <v>115</v>
      </c>
      <c r="AT15" s="39" t="s">
        <v>118</v>
      </c>
      <c r="AU15" s="23" t="s">
        <v>116</v>
      </c>
      <c r="AV15" s="39" t="s">
        <v>118</v>
      </c>
      <c r="AW15" s="23" t="s">
        <v>115</v>
      </c>
      <c r="AX15" s="39" t="s">
        <v>118</v>
      </c>
      <c r="AY15" s="23" t="s">
        <v>115</v>
      </c>
      <c r="AZ15" s="39" t="s">
        <v>118</v>
      </c>
      <c r="BA15" s="23" t="s">
        <v>115</v>
      </c>
      <c r="BB15" s="40"/>
      <c r="BC15" s="23" t="s">
        <v>115</v>
      </c>
      <c r="BD15" s="39" t="s">
        <v>118</v>
      </c>
      <c r="BE15" s="23" t="s">
        <v>115</v>
      </c>
      <c r="BF15" s="39" t="s">
        <v>118</v>
      </c>
      <c r="BG15" s="23" t="s">
        <v>115</v>
      </c>
      <c r="BH15" s="40"/>
      <c r="BI15" s="25" t="s">
        <v>117</v>
      </c>
      <c r="BJ15" s="40"/>
      <c r="BK15" s="25" t="s">
        <v>117</v>
      </c>
      <c r="BL15" s="40"/>
      <c r="BM15" s="25" t="s">
        <v>117</v>
      </c>
      <c r="BN15" s="40"/>
      <c r="BO15" s="25" t="s">
        <v>117</v>
      </c>
      <c r="BP15" s="40"/>
      <c r="BQ15" s="25" t="s">
        <v>117</v>
      </c>
      <c r="BR15" s="40"/>
      <c r="BS15" s="25" t="s">
        <v>117</v>
      </c>
      <c r="BT15" s="40"/>
      <c r="BU15" s="25" t="s">
        <v>117</v>
      </c>
      <c r="BV15" s="40"/>
      <c r="BW15" s="25" t="s">
        <v>117</v>
      </c>
      <c r="BX15" s="40"/>
      <c r="BY15" s="25" t="s">
        <v>117</v>
      </c>
      <c r="BZ15" s="40"/>
      <c r="CA15" s="25" t="s">
        <v>117</v>
      </c>
      <c r="CB15" s="40"/>
      <c r="CC15" s="25" t="s">
        <v>117</v>
      </c>
      <c r="CD15" s="40"/>
      <c r="CE15" s="25" t="s">
        <v>117</v>
      </c>
      <c r="CF15" s="40"/>
      <c r="CG15" s="25" t="s">
        <v>117</v>
      </c>
      <c r="CH15" s="40"/>
      <c r="CI15" s="25"/>
      <c r="CJ15" s="40"/>
      <c r="CK15" s="41" t="s">
        <v>117</v>
      </c>
      <c r="CL15" s="40"/>
      <c r="CM15" s="41" t="s">
        <v>117</v>
      </c>
      <c r="CN15" s="40"/>
      <c r="CO15" s="25" t="s">
        <v>117</v>
      </c>
      <c r="CP15" s="30">
        <v>400</v>
      </c>
      <c r="CQ15" s="23" t="s">
        <v>115</v>
      </c>
      <c r="CR15" s="32"/>
      <c r="CS15" s="23" t="s">
        <v>117</v>
      </c>
      <c r="CT15" s="32"/>
      <c r="CU15" s="23" t="s">
        <v>117</v>
      </c>
      <c r="CV15" s="32"/>
      <c r="CW15" s="23" t="s">
        <v>117</v>
      </c>
      <c r="CX15" s="32"/>
      <c r="CY15" s="25" t="s">
        <v>117</v>
      </c>
      <c r="CZ15" s="32"/>
      <c r="DA15" s="25" t="s">
        <v>117</v>
      </c>
      <c r="DB15" s="33" t="s">
        <v>120</v>
      </c>
      <c r="DC15" s="25" t="s">
        <v>116</v>
      </c>
      <c r="DD15" s="34">
        <f>ROUND(0.075*SUM(AD15,AF15,AH15,AJ15,AL15,AN15,AP15,AR15,AT15,AV15,AX15,AZ15,BB15,BR15,BT15,BV15,BX15,BZ15,CB15,CD15,CF15,CJ15,CL15,CN15,CP15,CR15,CT15,CV15,CX15,CZ15),0)</f>
        <v>705</v>
      </c>
      <c r="DE15" t="s">
        <v>215</v>
      </c>
      <c r="DF15" t="str">
        <f t="shared" si="1"/>
        <v>Argentina#Trust#Argentina Trust</v>
      </c>
      <c r="DG15" t="b">
        <f>DE15=DF15</f>
        <v>1</v>
      </c>
    </row>
    <row r="16" spans="1:111" ht="15" hidden="1" customHeight="1" x14ac:dyDescent="0.35">
      <c r="A16" s="185" t="s">
        <v>216</v>
      </c>
      <c r="B16" s="185"/>
      <c r="C16" s="185"/>
      <c r="D16" s="185"/>
      <c r="E16" s="185"/>
      <c r="F16" s="185"/>
      <c r="G16" s="185"/>
      <c r="H16" s="185"/>
      <c r="I16" s="185"/>
      <c r="J16" s="185"/>
      <c r="K16" s="185"/>
      <c r="L16" s="185"/>
      <c r="M16" s="185"/>
      <c r="N16" s="185"/>
      <c r="O16" s="185"/>
      <c r="P16" s="185"/>
      <c r="Q16" s="185"/>
      <c r="R16" s="185"/>
      <c r="S16" s="185"/>
      <c r="T16" s="185"/>
      <c r="U16" s="185"/>
      <c r="V16" s="185"/>
      <c r="W16" s="185"/>
      <c r="X16" s="185"/>
      <c r="Y16" s="185"/>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5"/>
      <c r="BK16" s="185"/>
      <c r="BL16" s="185"/>
      <c r="BM16" s="185"/>
      <c r="BN16" s="185"/>
      <c r="BO16" s="185"/>
      <c r="BP16" s="185"/>
      <c r="BQ16" s="185"/>
      <c r="BR16" s="185"/>
      <c r="BS16" s="185"/>
      <c r="BT16" s="185"/>
      <c r="BU16" s="185"/>
      <c r="BV16" s="185"/>
      <c r="BW16" s="185"/>
      <c r="BX16" s="185"/>
      <c r="BY16" s="185"/>
      <c r="BZ16" s="185"/>
      <c r="CA16" s="185"/>
      <c r="CB16" s="185"/>
      <c r="CC16" s="185"/>
      <c r="CD16" s="185"/>
      <c r="CE16" s="185"/>
      <c r="CF16" s="185"/>
      <c r="CG16" s="185"/>
      <c r="CH16" s="185"/>
      <c r="CI16" s="185"/>
      <c r="CJ16" s="185"/>
      <c r="CK16" s="185"/>
      <c r="CL16" s="185"/>
      <c r="CM16" s="185"/>
      <c r="CN16" s="185"/>
      <c r="CO16" s="185"/>
      <c r="CP16" s="185"/>
      <c r="CQ16" s="185"/>
      <c r="CR16" s="185"/>
      <c r="CS16" s="185"/>
      <c r="CT16" s="185"/>
      <c r="CU16" s="185"/>
      <c r="CV16" s="185"/>
      <c r="CW16" s="185"/>
      <c r="CX16" s="185"/>
      <c r="CY16" s="185"/>
      <c r="CZ16" s="185"/>
      <c r="DA16" s="185"/>
      <c r="DB16" s="185"/>
      <c r="DC16" s="185"/>
      <c r="DE16" t="s">
        <v>85</v>
      </c>
      <c r="DF16" t="str">
        <f t="shared" si="1"/>
        <v xml:space="preserve">   ABU DHABI##</v>
      </c>
    </row>
    <row r="17" spans="1:111" s="64" customFormat="1" ht="91.5" hidden="1" customHeight="1" x14ac:dyDescent="0.35">
      <c r="A17" s="49" t="s">
        <v>217</v>
      </c>
      <c r="B17" s="50" t="s">
        <v>218</v>
      </c>
      <c r="C17" s="49" t="s">
        <v>88</v>
      </c>
      <c r="D17" s="51" t="s">
        <v>219</v>
      </c>
      <c r="E17" s="49" t="s">
        <v>90</v>
      </c>
      <c r="F17" s="52" t="s">
        <v>220</v>
      </c>
      <c r="G17" s="53" t="s">
        <v>221</v>
      </c>
      <c r="H17" s="53" t="s">
        <v>222</v>
      </c>
      <c r="I17" s="53" t="s">
        <v>223</v>
      </c>
      <c r="J17" s="52" t="s">
        <v>224</v>
      </c>
      <c r="K17" s="52" t="s">
        <v>225</v>
      </c>
      <c r="L17" s="52" t="s">
        <v>97</v>
      </c>
      <c r="M17" s="52" t="s">
        <v>98</v>
      </c>
      <c r="N17" s="52" t="s">
        <v>226</v>
      </c>
      <c r="O17" s="52" t="s">
        <v>100</v>
      </c>
      <c r="P17" s="52" t="s">
        <v>101</v>
      </c>
      <c r="Q17" s="52" t="s">
        <v>102</v>
      </c>
      <c r="R17" s="52" t="s">
        <v>103</v>
      </c>
      <c r="S17" s="52" t="s">
        <v>104</v>
      </c>
      <c r="T17" s="52" t="s">
        <v>105</v>
      </c>
      <c r="U17" s="54" t="s">
        <v>227</v>
      </c>
      <c r="V17" s="55" t="s">
        <v>228</v>
      </c>
      <c r="W17" s="55" t="s">
        <v>229</v>
      </c>
      <c r="X17" s="55" t="s">
        <v>109</v>
      </c>
      <c r="Y17" s="55" t="s">
        <v>230</v>
      </c>
      <c r="Z17" s="55" t="s">
        <v>231</v>
      </c>
      <c r="AA17" s="55" t="s">
        <v>112</v>
      </c>
      <c r="AB17" s="55" t="s">
        <v>232</v>
      </c>
      <c r="AC17" s="55" t="s">
        <v>233</v>
      </c>
      <c r="AD17" s="56">
        <v>5000</v>
      </c>
      <c r="AE17" s="57" t="s">
        <v>115</v>
      </c>
      <c r="AF17" s="58" t="s">
        <v>234</v>
      </c>
      <c r="AG17" s="57" t="s">
        <v>116</v>
      </c>
      <c r="AH17" s="26">
        <v>500</v>
      </c>
      <c r="AI17" s="25" t="s">
        <v>115</v>
      </c>
      <c r="AJ17" s="59"/>
      <c r="AK17" s="25" t="s">
        <v>116</v>
      </c>
      <c r="AL17" s="22">
        <v>0</v>
      </c>
      <c r="AM17" s="60" t="s">
        <v>116</v>
      </c>
      <c r="AN17" s="61">
        <v>2000</v>
      </c>
      <c r="AO17" s="25" t="s">
        <v>116</v>
      </c>
      <c r="AP17" s="58" t="s">
        <v>118</v>
      </c>
      <c r="AQ17" s="60" t="s">
        <v>116</v>
      </c>
      <c r="AR17" s="58" t="s">
        <v>234</v>
      </c>
      <c r="AS17" s="57" t="s">
        <v>117</v>
      </c>
      <c r="AT17" s="58" t="s">
        <v>118</v>
      </c>
      <c r="AU17" s="57" t="s">
        <v>116</v>
      </c>
      <c r="AV17" s="61">
        <v>1600</v>
      </c>
      <c r="AW17" s="57" t="s">
        <v>115</v>
      </c>
      <c r="AX17" s="58" t="s">
        <v>118</v>
      </c>
      <c r="AY17" s="57" t="s">
        <v>116</v>
      </c>
      <c r="AZ17" s="26">
        <v>1900</v>
      </c>
      <c r="BA17" s="57" t="s">
        <v>115</v>
      </c>
      <c r="BB17" s="49"/>
      <c r="BC17" s="57" t="s">
        <v>116</v>
      </c>
      <c r="BD17" s="26">
        <v>1500</v>
      </c>
      <c r="BE17" s="57" t="s">
        <v>116</v>
      </c>
      <c r="BF17" s="58" t="s">
        <v>118</v>
      </c>
      <c r="BG17" s="57" t="s">
        <v>117</v>
      </c>
      <c r="BH17" s="58" t="s">
        <v>234</v>
      </c>
      <c r="BI17" s="25" t="s">
        <v>117</v>
      </c>
      <c r="BJ17" s="58" t="s">
        <v>234</v>
      </c>
      <c r="BK17" s="25" t="s">
        <v>117</v>
      </c>
      <c r="BL17" s="61">
        <v>1600</v>
      </c>
      <c r="BM17" s="25" t="s">
        <v>116</v>
      </c>
      <c r="BN17" s="58" t="s">
        <v>234</v>
      </c>
      <c r="BO17" s="25" t="s">
        <v>117</v>
      </c>
      <c r="BP17" s="58" t="s">
        <v>235</v>
      </c>
      <c r="BQ17" s="25" t="s">
        <v>116</v>
      </c>
      <c r="BR17" s="49"/>
      <c r="BS17" s="25" t="s">
        <v>117</v>
      </c>
      <c r="BT17" s="49"/>
      <c r="BU17" s="25" t="s">
        <v>117</v>
      </c>
      <c r="BV17" s="49"/>
      <c r="BW17" s="25" t="s">
        <v>117</v>
      </c>
      <c r="BX17" s="49"/>
      <c r="BY17" s="25" t="s">
        <v>117</v>
      </c>
      <c r="BZ17" s="49"/>
      <c r="CA17" s="25" t="s">
        <v>117</v>
      </c>
      <c r="CB17" s="49"/>
      <c r="CC17" s="25" t="s">
        <v>117</v>
      </c>
      <c r="CD17" s="49"/>
      <c r="CE17" s="25" t="s">
        <v>117</v>
      </c>
      <c r="CF17" s="49"/>
      <c r="CG17" s="25" t="s">
        <v>117</v>
      </c>
      <c r="CH17" s="49"/>
      <c r="CI17" s="25"/>
      <c r="CJ17" s="49"/>
      <c r="CK17" s="62" t="s">
        <v>117</v>
      </c>
      <c r="CL17" s="49"/>
      <c r="CM17" s="62" t="s">
        <v>117</v>
      </c>
      <c r="CN17" s="49"/>
      <c r="CO17" s="25" t="s">
        <v>117</v>
      </c>
      <c r="CP17" s="30">
        <v>400</v>
      </c>
      <c r="CQ17" s="57" t="s">
        <v>115</v>
      </c>
      <c r="CR17" s="63"/>
      <c r="CS17" s="57" t="s">
        <v>117</v>
      </c>
      <c r="CT17" s="63"/>
      <c r="CU17" s="57" t="s">
        <v>117</v>
      </c>
      <c r="CV17" s="63"/>
      <c r="CW17" s="57" t="s">
        <v>117</v>
      </c>
      <c r="CX17" s="63"/>
      <c r="CY17" s="25" t="s">
        <v>117</v>
      </c>
      <c r="CZ17" s="63"/>
      <c r="DA17" s="25" t="s">
        <v>117</v>
      </c>
      <c r="DB17" s="33" t="s">
        <v>120</v>
      </c>
      <c r="DC17" s="25" t="s">
        <v>116</v>
      </c>
      <c r="DD17" s="34">
        <f>ROUND(0.075*SUM(AD17,AF17,AH17,AJ17,AL17,AN17,AP17,AR17,AT17,AV17,AX17,AZ17,BB17,BR17,BT17,BV17,BX17,BZ17,CB17,CD17,CF17,CJ17,CL17,CN17,CP17,CR17,CT17,CV17,CX17,CZ17),0)</f>
        <v>855</v>
      </c>
      <c r="DE17" s="64" t="s">
        <v>236</v>
      </c>
      <c r="DF17" s="64" t="str">
        <f t="shared" si="1"/>
        <v>Abu Dhabi#Company#Abu Dhabi ADGM SPV</v>
      </c>
      <c r="DG17" s="64" t="b">
        <f>DE17=DF17</f>
        <v>1</v>
      </c>
    </row>
    <row r="18" spans="1:111" s="64" customFormat="1" ht="66.75" hidden="1" customHeight="1" x14ac:dyDescent="0.35">
      <c r="A18" s="50" t="s">
        <v>217</v>
      </c>
      <c r="B18" s="50" t="s">
        <v>218</v>
      </c>
      <c r="C18" s="50" t="s">
        <v>88</v>
      </c>
      <c r="D18" s="65" t="s">
        <v>237</v>
      </c>
      <c r="E18" s="50" t="s">
        <v>90</v>
      </c>
      <c r="F18" s="53" t="s">
        <v>238</v>
      </c>
      <c r="G18" s="53" t="s">
        <v>239</v>
      </c>
      <c r="H18" s="53" t="s">
        <v>222</v>
      </c>
      <c r="I18" s="52" t="s">
        <v>94</v>
      </c>
      <c r="J18" s="52" t="s">
        <v>224</v>
      </c>
      <c r="K18" s="53" t="s">
        <v>240</v>
      </c>
      <c r="L18" s="52" t="s">
        <v>97</v>
      </c>
      <c r="M18" s="52" t="s">
        <v>98</v>
      </c>
      <c r="N18" s="52" t="s">
        <v>241</v>
      </c>
      <c r="O18" s="66"/>
      <c r="P18" s="52" t="s">
        <v>101</v>
      </c>
      <c r="Q18" s="53" t="s">
        <v>242</v>
      </c>
      <c r="R18" s="52" t="s">
        <v>103</v>
      </c>
      <c r="S18" s="52" t="s">
        <v>104</v>
      </c>
      <c r="T18" s="53" t="s">
        <v>105</v>
      </c>
      <c r="U18" s="54" t="s">
        <v>227</v>
      </c>
      <c r="V18" s="55" t="s">
        <v>243</v>
      </c>
      <c r="W18" s="55" t="s">
        <v>229</v>
      </c>
      <c r="X18" s="55" t="s">
        <v>109</v>
      </c>
      <c r="Y18" s="55" t="s">
        <v>230</v>
      </c>
      <c r="Z18" s="55" t="s">
        <v>231</v>
      </c>
      <c r="AA18" s="55" t="s">
        <v>112</v>
      </c>
      <c r="AB18" s="67" t="s">
        <v>244</v>
      </c>
      <c r="AC18" s="55" t="s">
        <v>245</v>
      </c>
      <c r="AD18" s="22">
        <v>6000</v>
      </c>
      <c r="AE18" s="57" t="s">
        <v>115</v>
      </c>
      <c r="AF18" s="50"/>
      <c r="AG18" s="57" t="s">
        <v>116</v>
      </c>
      <c r="AH18" s="26">
        <v>500</v>
      </c>
      <c r="AI18" s="25" t="s">
        <v>115</v>
      </c>
      <c r="AJ18" s="27"/>
      <c r="AK18" s="25" t="s">
        <v>116</v>
      </c>
      <c r="AL18" s="22">
        <v>0</v>
      </c>
      <c r="AM18" s="60" t="s">
        <v>116</v>
      </c>
      <c r="AN18" s="61">
        <v>2000</v>
      </c>
      <c r="AO18" s="25" t="s">
        <v>116</v>
      </c>
      <c r="AP18" s="27" t="s">
        <v>118</v>
      </c>
      <c r="AQ18" s="60" t="s">
        <v>116</v>
      </c>
      <c r="AR18" s="27" t="s">
        <v>234</v>
      </c>
      <c r="AS18" s="57" t="s">
        <v>117</v>
      </c>
      <c r="AT18" s="27" t="s">
        <v>118</v>
      </c>
      <c r="AU18" s="57" t="s">
        <v>116</v>
      </c>
      <c r="AV18" s="27" t="s">
        <v>246</v>
      </c>
      <c r="AW18" s="57" t="s">
        <v>115</v>
      </c>
      <c r="AX18" s="27" t="s">
        <v>118</v>
      </c>
      <c r="AY18" s="57" t="s">
        <v>116</v>
      </c>
      <c r="AZ18" s="26">
        <v>5800</v>
      </c>
      <c r="BA18" s="57" t="s">
        <v>115</v>
      </c>
      <c r="BB18" s="50"/>
      <c r="BC18" s="57" t="s">
        <v>116</v>
      </c>
      <c r="BD18" s="26">
        <v>1500</v>
      </c>
      <c r="BE18" s="57" t="s">
        <v>116</v>
      </c>
      <c r="BF18" s="27" t="s">
        <v>118</v>
      </c>
      <c r="BG18" s="57" t="s">
        <v>117</v>
      </c>
      <c r="BH18" s="27" t="s">
        <v>234</v>
      </c>
      <c r="BI18" s="25" t="s">
        <v>117</v>
      </c>
      <c r="BJ18" s="27" t="s">
        <v>247</v>
      </c>
      <c r="BK18" s="25" t="s">
        <v>116</v>
      </c>
      <c r="BL18" s="22">
        <v>1600</v>
      </c>
      <c r="BM18" s="25" t="s">
        <v>116</v>
      </c>
      <c r="BN18" s="27" t="s">
        <v>234</v>
      </c>
      <c r="BO18" s="25" t="s">
        <v>117</v>
      </c>
      <c r="BP18" s="58" t="s">
        <v>235</v>
      </c>
      <c r="BQ18" s="25" t="s">
        <v>116</v>
      </c>
      <c r="BR18" s="50"/>
      <c r="BS18" s="25" t="s">
        <v>117</v>
      </c>
      <c r="BT18" s="50"/>
      <c r="BU18" s="25" t="s">
        <v>117</v>
      </c>
      <c r="BV18" s="50"/>
      <c r="BW18" s="25" t="s">
        <v>117</v>
      </c>
      <c r="BX18" s="50"/>
      <c r="BY18" s="25" t="s">
        <v>117</v>
      </c>
      <c r="BZ18" s="50"/>
      <c r="CA18" s="25" t="s">
        <v>117</v>
      </c>
      <c r="CB18" s="50"/>
      <c r="CC18" s="25" t="s">
        <v>117</v>
      </c>
      <c r="CD18" s="50"/>
      <c r="CE18" s="25" t="s">
        <v>117</v>
      </c>
      <c r="CF18" s="50"/>
      <c r="CG18" s="25" t="s">
        <v>117</v>
      </c>
      <c r="CH18" s="50"/>
      <c r="CI18" s="25"/>
      <c r="CJ18" s="50"/>
      <c r="CK18" s="29" t="s">
        <v>117</v>
      </c>
      <c r="CL18" s="50"/>
      <c r="CM18" s="29" t="s">
        <v>117</v>
      </c>
      <c r="CN18" s="50"/>
      <c r="CO18" s="25" t="s">
        <v>117</v>
      </c>
      <c r="CP18" s="30">
        <v>400</v>
      </c>
      <c r="CQ18" s="57" t="s">
        <v>115</v>
      </c>
      <c r="CR18" s="63"/>
      <c r="CS18" s="57" t="s">
        <v>117</v>
      </c>
      <c r="CT18" s="63"/>
      <c r="CU18" s="57" t="s">
        <v>117</v>
      </c>
      <c r="CV18" s="63"/>
      <c r="CW18" s="57" t="s">
        <v>117</v>
      </c>
      <c r="CX18" s="63"/>
      <c r="CY18" s="25" t="s">
        <v>117</v>
      </c>
      <c r="CZ18" s="63"/>
      <c r="DA18" s="25" t="s">
        <v>117</v>
      </c>
      <c r="DB18" s="33" t="s">
        <v>120</v>
      </c>
      <c r="DC18" s="25" t="s">
        <v>116</v>
      </c>
      <c r="DD18" s="34">
        <f>ROUND(0.075*SUM(AD18,AF18,AH18,AJ18,AL18,AN18,AP18,AR18,AT18,AV18,AX18,AZ18,BB18,BR18,BT18,BV18,BX18,BZ18,CB18,CD18,CF18,CJ18,CL18,CN18,CP18,CR18,CT18,CV18,CX18,CZ18),0)</f>
        <v>1103</v>
      </c>
      <c r="DE18" s="64" t="s">
        <v>248</v>
      </c>
      <c r="DF18" s="64" t="str">
        <f t="shared" si="1"/>
        <v>Abu Dhabi#Company#Abu Dhabi ADGM - Private Limited Company</v>
      </c>
      <c r="DG18" s="64" t="b">
        <f>DE18=DF18</f>
        <v>1</v>
      </c>
    </row>
    <row r="19" spans="1:111" s="64" customFormat="1" ht="60.75" hidden="1" customHeight="1" x14ac:dyDescent="0.35">
      <c r="A19" s="68" t="s">
        <v>217</v>
      </c>
      <c r="B19" s="50" t="s">
        <v>218</v>
      </c>
      <c r="C19" s="68" t="s">
        <v>88</v>
      </c>
      <c r="D19" s="69" t="s">
        <v>249</v>
      </c>
      <c r="E19" s="68" t="s">
        <v>90</v>
      </c>
      <c r="F19" s="54" t="s">
        <v>250</v>
      </c>
      <c r="G19" s="53" t="s">
        <v>251</v>
      </c>
      <c r="H19" s="53" t="s">
        <v>222</v>
      </c>
      <c r="I19" s="52" t="s">
        <v>94</v>
      </c>
      <c r="J19" s="52" t="s">
        <v>224</v>
      </c>
      <c r="K19" s="52" t="s">
        <v>225</v>
      </c>
      <c r="L19" s="52" t="s">
        <v>97</v>
      </c>
      <c r="M19" s="52" t="s">
        <v>98</v>
      </c>
      <c r="N19" s="53" t="s">
        <v>252</v>
      </c>
      <c r="O19" s="53" t="s">
        <v>129</v>
      </c>
      <c r="P19" s="54" t="s">
        <v>128</v>
      </c>
      <c r="Q19" s="70"/>
      <c r="R19" s="66"/>
      <c r="S19" s="52" t="s">
        <v>104</v>
      </c>
      <c r="T19" s="52" t="s">
        <v>105</v>
      </c>
      <c r="U19" s="54" t="s">
        <v>227</v>
      </c>
      <c r="V19" s="67" t="s">
        <v>253</v>
      </c>
      <c r="W19" s="67" t="s">
        <v>229</v>
      </c>
      <c r="X19" s="54" t="s">
        <v>254</v>
      </c>
      <c r="Y19" s="54" t="s">
        <v>255</v>
      </c>
      <c r="Z19" s="55" t="s">
        <v>256</v>
      </c>
      <c r="AA19" s="71" t="s">
        <v>257</v>
      </c>
      <c r="AB19" s="71"/>
      <c r="AC19" s="67" t="s">
        <v>258</v>
      </c>
      <c r="AD19" s="37">
        <v>5500</v>
      </c>
      <c r="AE19" s="57" t="s">
        <v>115</v>
      </c>
      <c r="AF19" s="39" t="s">
        <v>234</v>
      </c>
      <c r="AG19" s="57" t="s">
        <v>116</v>
      </c>
      <c r="AH19" s="26">
        <v>500</v>
      </c>
      <c r="AI19" s="25" t="s">
        <v>115</v>
      </c>
      <c r="AJ19" s="27"/>
      <c r="AK19" s="25" t="s">
        <v>116</v>
      </c>
      <c r="AL19" s="22">
        <v>0</v>
      </c>
      <c r="AM19" s="60" t="s">
        <v>116</v>
      </c>
      <c r="AN19" s="61">
        <v>2000</v>
      </c>
      <c r="AO19" s="25" t="s">
        <v>116</v>
      </c>
      <c r="AP19" s="26">
        <v>15000</v>
      </c>
      <c r="AQ19" s="60" t="s">
        <v>116</v>
      </c>
      <c r="AR19" s="39" t="s">
        <v>234</v>
      </c>
      <c r="AS19" s="57" t="s">
        <v>117</v>
      </c>
      <c r="AT19" s="39" t="s">
        <v>118</v>
      </c>
      <c r="AU19" s="57" t="s">
        <v>116</v>
      </c>
      <c r="AV19" s="61">
        <v>1600</v>
      </c>
      <c r="AW19" s="57" t="s">
        <v>115</v>
      </c>
      <c r="AX19" s="39" t="s">
        <v>118</v>
      </c>
      <c r="AY19" s="57" t="s">
        <v>116</v>
      </c>
      <c r="AZ19" s="26">
        <v>1000</v>
      </c>
      <c r="BA19" s="57" t="s">
        <v>115</v>
      </c>
      <c r="BB19" s="68"/>
      <c r="BC19" s="57" t="s">
        <v>116</v>
      </c>
      <c r="BD19" s="26">
        <v>1500</v>
      </c>
      <c r="BE19" s="57" t="s">
        <v>116</v>
      </c>
      <c r="BF19" s="39" t="s">
        <v>118</v>
      </c>
      <c r="BG19" s="57" t="s">
        <v>117</v>
      </c>
      <c r="BH19" s="39" t="s">
        <v>234</v>
      </c>
      <c r="BI19" s="25" t="s">
        <v>117</v>
      </c>
      <c r="BJ19" s="39" t="s">
        <v>234</v>
      </c>
      <c r="BK19" s="25" t="s">
        <v>117</v>
      </c>
      <c r="BL19" s="37">
        <v>1600</v>
      </c>
      <c r="BM19" s="25" t="s">
        <v>116</v>
      </c>
      <c r="BN19" s="39" t="s">
        <v>234</v>
      </c>
      <c r="BO19" s="25" t="s">
        <v>117</v>
      </c>
      <c r="BP19" s="39" t="s">
        <v>256</v>
      </c>
      <c r="BQ19" s="25" t="s">
        <v>116</v>
      </c>
      <c r="BR19" s="68"/>
      <c r="BS19" s="25" t="s">
        <v>117</v>
      </c>
      <c r="BT19" s="68"/>
      <c r="BU19" s="25" t="s">
        <v>117</v>
      </c>
      <c r="BV19" s="68"/>
      <c r="BW19" s="25" t="s">
        <v>117</v>
      </c>
      <c r="BX19" s="68"/>
      <c r="BY19" s="25" t="s">
        <v>117</v>
      </c>
      <c r="BZ19" s="68"/>
      <c r="CA19" s="25" t="s">
        <v>117</v>
      </c>
      <c r="CB19" s="68"/>
      <c r="CC19" s="25" t="s">
        <v>117</v>
      </c>
      <c r="CD19" s="68"/>
      <c r="CE19" s="25" t="s">
        <v>117</v>
      </c>
      <c r="CF19" s="68"/>
      <c r="CG19" s="25" t="s">
        <v>117</v>
      </c>
      <c r="CH19" s="68"/>
      <c r="CI19" s="25"/>
      <c r="CJ19" s="68"/>
      <c r="CK19" s="41" t="s">
        <v>117</v>
      </c>
      <c r="CL19" s="68"/>
      <c r="CM19" s="41" t="s">
        <v>117</v>
      </c>
      <c r="CN19" s="68"/>
      <c r="CO19" s="25" t="s">
        <v>117</v>
      </c>
      <c r="CP19" s="30">
        <v>400</v>
      </c>
      <c r="CQ19" s="57" t="s">
        <v>115</v>
      </c>
      <c r="CR19" s="63"/>
      <c r="CS19" s="57" t="s">
        <v>117</v>
      </c>
      <c r="CT19" s="63"/>
      <c r="CU19" s="57" t="s">
        <v>117</v>
      </c>
      <c r="CV19" s="63"/>
      <c r="CW19" s="57" t="s">
        <v>117</v>
      </c>
      <c r="CX19" s="63"/>
      <c r="CY19" s="25" t="s">
        <v>117</v>
      </c>
      <c r="CZ19" s="63"/>
      <c r="DA19" s="25" t="s">
        <v>117</v>
      </c>
      <c r="DB19" s="33" t="s">
        <v>120</v>
      </c>
      <c r="DC19" s="25" t="s">
        <v>116</v>
      </c>
      <c r="DD19" s="34">
        <f>ROUND(0.075*SUM(AD19,AF19,AH19,AJ19,AL19,AN19,AP19,AR19,AT19,AV19,AX19,AZ19,BB19,BR19,BT19,BV19,BX19,BZ19,CB19,CD19,CF19,CJ19,CL19,CN19,CP19,CR19,CT19,CV19,CX19,CZ19),0)</f>
        <v>1950</v>
      </c>
      <c r="DE19" s="64" t="s">
        <v>259</v>
      </c>
      <c r="DF19" s="64" t="str">
        <f t="shared" si="1"/>
        <v xml:space="preserve">Abu Dhabi#Company#Abu Dhabi ADGM -  Foundation </v>
      </c>
      <c r="DG19" s="64" t="b">
        <f>DE19=DF19</f>
        <v>1</v>
      </c>
    </row>
    <row r="20" spans="1:111" ht="15" hidden="1" customHeight="1" x14ac:dyDescent="0.35">
      <c r="A20" s="184" t="s">
        <v>260</v>
      </c>
      <c r="B20" s="184"/>
      <c r="C20" s="184"/>
      <c r="D20" s="184"/>
      <c r="E20" s="184"/>
      <c r="F20" s="184"/>
      <c r="G20" s="184"/>
      <c r="H20" s="184"/>
      <c r="I20" s="184"/>
      <c r="J20" s="184"/>
      <c r="K20" s="184"/>
      <c r="L20" s="184"/>
      <c r="M20" s="184"/>
      <c r="N20" s="184"/>
      <c r="O20" s="184"/>
      <c r="P20" s="184"/>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4"/>
      <c r="BP20" s="184"/>
      <c r="BQ20" s="184"/>
      <c r="BR20" s="184"/>
      <c r="BS20" s="184"/>
      <c r="BT20" s="184"/>
      <c r="BU20" s="184"/>
      <c r="BV20" s="184"/>
      <c r="BW20" s="184"/>
      <c r="BX20" s="184"/>
      <c r="BY20" s="184"/>
      <c r="BZ20" s="184"/>
      <c r="CA20" s="184"/>
      <c r="CB20" s="184"/>
      <c r="CC20" s="184"/>
      <c r="CD20" s="184"/>
      <c r="CE20" s="184"/>
      <c r="CF20" s="184"/>
      <c r="CG20" s="184"/>
      <c r="CH20" s="184"/>
      <c r="CI20" s="184"/>
      <c r="CJ20" s="184"/>
      <c r="CK20" s="184"/>
      <c r="CL20" s="184"/>
      <c r="CM20" s="184"/>
      <c r="CN20" s="184"/>
      <c r="CO20" s="184"/>
      <c r="CP20" s="184"/>
      <c r="CQ20" s="184"/>
      <c r="CR20" s="184"/>
      <c r="CS20" s="184"/>
      <c r="CT20" s="184"/>
      <c r="CU20" s="184"/>
      <c r="CV20" s="184"/>
      <c r="CW20" s="184"/>
      <c r="CX20" s="184"/>
      <c r="CY20" s="184"/>
      <c r="CZ20" s="184"/>
      <c r="DA20" s="184"/>
      <c r="DB20" s="184"/>
      <c r="DC20" s="184"/>
      <c r="DE20" t="s">
        <v>85</v>
      </c>
      <c r="DF20" t="str">
        <f t="shared" si="1"/>
        <v xml:space="preserve">   BRAZIL##</v>
      </c>
    </row>
    <row r="21" spans="1:111" ht="78.75" customHeight="1" x14ac:dyDescent="0.35">
      <c r="A21" s="35" t="s">
        <v>261</v>
      </c>
      <c r="B21" s="42" t="s">
        <v>262</v>
      </c>
      <c r="C21" s="35" t="s">
        <v>141</v>
      </c>
      <c r="D21" s="36" t="s">
        <v>263</v>
      </c>
      <c r="E21" s="35" t="s">
        <v>90</v>
      </c>
      <c r="F21" s="20" t="s">
        <v>264</v>
      </c>
      <c r="G21" s="20" t="s">
        <v>265</v>
      </c>
      <c r="H21" s="20" t="s">
        <v>145</v>
      </c>
      <c r="I21" s="20" t="s">
        <v>146</v>
      </c>
      <c r="J21" s="20" t="s">
        <v>266</v>
      </c>
      <c r="K21" s="20" t="s">
        <v>96</v>
      </c>
      <c r="L21" s="20" t="s">
        <v>97</v>
      </c>
      <c r="M21" s="20" t="s">
        <v>98</v>
      </c>
      <c r="N21" s="20" t="s">
        <v>147</v>
      </c>
      <c r="O21" s="20" t="s">
        <v>148</v>
      </c>
      <c r="P21" s="20" t="s">
        <v>149</v>
      </c>
      <c r="Q21" s="20" t="s">
        <v>150</v>
      </c>
      <c r="R21" s="20" t="s">
        <v>151</v>
      </c>
      <c r="S21" s="20" t="s">
        <v>152</v>
      </c>
      <c r="T21" s="20" t="s">
        <v>153</v>
      </c>
      <c r="U21" s="20" t="s">
        <v>154</v>
      </c>
      <c r="V21" s="21" t="s">
        <v>267</v>
      </c>
      <c r="W21" s="21" t="s">
        <v>203</v>
      </c>
      <c r="X21" s="21" t="s">
        <v>268</v>
      </c>
      <c r="Y21" s="21" t="s">
        <v>269</v>
      </c>
      <c r="Z21" s="21" t="s">
        <v>270</v>
      </c>
      <c r="AA21" s="21" t="s">
        <v>271</v>
      </c>
      <c r="AB21" s="21" t="s">
        <v>272</v>
      </c>
      <c r="AC21" s="21" t="s">
        <v>273</v>
      </c>
      <c r="AE21" s="23" t="s">
        <v>115</v>
      </c>
      <c r="AF21" s="38"/>
      <c r="AG21" s="23" t="s">
        <v>116</v>
      </c>
      <c r="AH21" s="38"/>
      <c r="AI21" s="25" t="s">
        <v>117</v>
      </c>
      <c r="AJ21" s="38"/>
      <c r="AK21" s="25" t="s">
        <v>117</v>
      </c>
      <c r="AL21" s="22">
        <v>0</v>
      </c>
      <c r="AM21" s="23" t="s">
        <v>115</v>
      </c>
      <c r="AN21" s="38"/>
      <c r="AO21" s="25" t="s">
        <v>117</v>
      </c>
      <c r="AP21" s="39" t="s">
        <v>118</v>
      </c>
      <c r="AQ21" s="23" t="s">
        <v>115</v>
      </c>
      <c r="AR21" s="40"/>
      <c r="AS21" s="23" t="s">
        <v>117</v>
      </c>
      <c r="AT21" s="39" t="s">
        <v>118</v>
      </c>
      <c r="AU21" s="23" t="s">
        <v>116</v>
      </c>
      <c r="AV21" s="39" t="s">
        <v>118</v>
      </c>
      <c r="AW21" s="23" t="s">
        <v>115</v>
      </c>
      <c r="AX21" s="39" t="s">
        <v>118</v>
      </c>
      <c r="AY21" s="23" t="s">
        <v>115</v>
      </c>
      <c r="AZ21" s="39" t="s">
        <v>118</v>
      </c>
      <c r="BA21" s="23" t="s">
        <v>115</v>
      </c>
      <c r="BB21" s="40"/>
      <c r="BC21" s="23" t="s">
        <v>115</v>
      </c>
      <c r="BD21" s="39" t="s">
        <v>118</v>
      </c>
      <c r="BE21" s="23" t="s">
        <v>115</v>
      </c>
      <c r="BF21" s="39" t="s">
        <v>118</v>
      </c>
      <c r="BG21" s="23" t="s">
        <v>115</v>
      </c>
      <c r="BH21" s="40"/>
      <c r="BI21" s="25" t="s">
        <v>117</v>
      </c>
      <c r="BJ21" s="40"/>
      <c r="BK21" s="25" t="s">
        <v>117</v>
      </c>
      <c r="BL21" s="40"/>
      <c r="BM21" s="25" t="s">
        <v>117</v>
      </c>
      <c r="BN21" s="40"/>
      <c r="BO21" s="25" t="s">
        <v>117</v>
      </c>
      <c r="BP21" s="40"/>
      <c r="BQ21" s="25" t="s">
        <v>117</v>
      </c>
      <c r="BR21" s="37">
        <v>15000</v>
      </c>
      <c r="BS21" s="25" t="s">
        <v>115</v>
      </c>
      <c r="BT21" s="40"/>
      <c r="BU21" s="25" t="s">
        <v>117</v>
      </c>
      <c r="BV21" s="40"/>
      <c r="BW21" s="25" t="s">
        <v>117</v>
      </c>
      <c r="BX21" s="40"/>
      <c r="BY21" s="25" t="s">
        <v>117</v>
      </c>
      <c r="BZ21" s="46"/>
      <c r="CA21" s="25" t="s">
        <v>117</v>
      </c>
      <c r="CB21" s="45" t="s">
        <v>159</v>
      </c>
      <c r="CC21" s="25" t="s">
        <v>116</v>
      </c>
      <c r="CD21" s="40"/>
      <c r="CE21" s="25" t="s">
        <v>117</v>
      </c>
      <c r="CF21" s="40"/>
      <c r="CG21" s="25" t="s">
        <v>117</v>
      </c>
      <c r="CH21" s="151"/>
      <c r="CI21" s="25" t="s">
        <v>116</v>
      </c>
      <c r="CJ21" s="151">
        <v>2500</v>
      </c>
      <c r="CK21" s="48" t="s">
        <v>116</v>
      </c>
      <c r="CL21" s="46">
        <v>1500</v>
      </c>
      <c r="CM21" s="48" t="s">
        <v>116</v>
      </c>
      <c r="CN21" s="46">
        <v>1500</v>
      </c>
      <c r="CO21" s="25" t="s">
        <v>116</v>
      </c>
      <c r="CP21" s="30">
        <v>400</v>
      </c>
      <c r="CQ21" s="23" t="s">
        <v>115</v>
      </c>
      <c r="CR21" s="32"/>
      <c r="CS21" s="23" t="s">
        <v>117</v>
      </c>
      <c r="CT21" s="32"/>
      <c r="CU21" s="23" t="s">
        <v>117</v>
      </c>
      <c r="CV21" s="32"/>
      <c r="CW21" s="23" t="s">
        <v>117</v>
      </c>
      <c r="CX21" s="32"/>
      <c r="CY21" s="25" t="s">
        <v>117</v>
      </c>
      <c r="CZ21" s="32"/>
      <c r="DA21" s="25" t="s">
        <v>117</v>
      </c>
      <c r="DB21" s="33" t="s">
        <v>120</v>
      </c>
      <c r="DC21" s="25" t="s">
        <v>116</v>
      </c>
      <c r="DD21" s="34">
        <f t="shared" ref="DD21:DD26" si="3">ROUND(0.075*SUM(AD21,AF21,AH21,AJ21,AL21,AN21,AP21,AR21,AT21,AV21,AX21,AZ21,BB21,BR21,BT21,BV21,BX21,BZ21,CB21,CD21,CF21,CJ21,CL21,CN21,CP21,CR21,CT21,CV21,CX21,CZ21),0)</f>
        <v>1568</v>
      </c>
      <c r="DE21" t="s">
        <v>274</v>
      </c>
      <c r="DF21" t="str">
        <f t="shared" si="1"/>
        <v>Brazil#Fund#Brazil FI</v>
      </c>
      <c r="DG21" t="b">
        <f t="shared" ref="DG21:DG26" si="4">DE21=DF21</f>
        <v>1</v>
      </c>
    </row>
    <row r="22" spans="1:111" ht="78.75" customHeight="1" x14ac:dyDescent="0.35">
      <c r="A22" s="42" t="s">
        <v>261</v>
      </c>
      <c r="B22" s="42" t="s">
        <v>262</v>
      </c>
      <c r="C22" s="42" t="s">
        <v>141</v>
      </c>
      <c r="D22" s="43" t="s">
        <v>275</v>
      </c>
      <c r="E22" s="42" t="s">
        <v>90</v>
      </c>
      <c r="F22" s="20" t="s">
        <v>276</v>
      </c>
      <c r="G22" s="20" t="s">
        <v>277</v>
      </c>
      <c r="H22" s="20" t="s">
        <v>145</v>
      </c>
      <c r="I22" s="20" t="s">
        <v>146</v>
      </c>
      <c r="J22" s="20" t="s">
        <v>266</v>
      </c>
      <c r="K22" s="20" t="s">
        <v>96</v>
      </c>
      <c r="L22" s="20" t="s">
        <v>97</v>
      </c>
      <c r="M22" s="20" t="s">
        <v>98</v>
      </c>
      <c r="N22" s="20" t="s">
        <v>147</v>
      </c>
      <c r="O22" s="20" t="s">
        <v>148</v>
      </c>
      <c r="P22" s="20" t="s">
        <v>149</v>
      </c>
      <c r="Q22" s="20" t="s">
        <v>150</v>
      </c>
      <c r="R22" s="20" t="s">
        <v>151</v>
      </c>
      <c r="S22" s="20" t="s">
        <v>152</v>
      </c>
      <c r="T22" s="20" t="s">
        <v>153</v>
      </c>
      <c r="U22" s="20" t="s">
        <v>154</v>
      </c>
      <c r="V22" s="21" t="s">
        <v>267</v>
      </c>
      <c r="W22" s="21" t="s">
        <v>203</v>
      </c>
      <c r="X22" s="21" t="s">
        <v>109</v>
      </c>
      <c r="Y22" s="21" t="s">
        <v>278</v>
      </c>
      <c r="Z22" s="21" t="s">
        <v>256</v>
      </c>
      <c r="AA22" s="21" t="s">
        <v>279</v>
      </c>
      <c r="AB22" s="21" t="s">
        <v>280</v>
      </c>
      <c r="AC22" s="21" t="s">
        <v>281</v>
      </c>
      <c r="AE22" s="23" t="s">
        <v>115</v>
      </c>
      <c r="AF22" s="44"/>
      <c r="AG22" s="23" t="s">
        <v>116</v>
      </c>
      <c r="AH22" s="44"/>
      <c r="AI22" s="25" t="s">
        <v>117</v>
      </c>
      <c r="AJ22" s="44"/>
      <c r="AK22" s="25" t="s">
        <v>117</v>
      </c>
      <c r="AL22" s="22">
        <v>0</v>
      </c>
      <c r="AM22" s="23" t="s">
        <v>115</v>
      </c>
      <c r="AN22" s="44"/>
      <c r="AO22" s="25" t="s">
        <v>117</v>
      </c>
      <c r="AP22" s="45" t="s">
        <v>118</v>
      </c>
      <c r="AQ22" s="23" t="s">
        <v>115</v>
      </c>
      <c r="AR22" s="46"/>
      <c r="AS22" s="23" t="s">
        <v>117</v>
      </c>
      <c r="AT22" s="45" t="s">
        <v>118</v>
      </c>
      <c r="AU22" s="23" t="s">
        <v>116</v>
      </c>
      <c r="AV22" s="45" t="s">
        <v>118</v>
      </c>
      <c r="AW22" s="23" t="s">
        <v>115</v>
      </c>
      <c r="AX22" s="45" t="s">
        <v>118</v>
      </c>
      <c r="AY22" s="23" t="s">
        <v>115</v>
      </c>
      <c r="AZ22" s="45" t="s">
        <v>118</v>
      </c>
      <c r="BA22" s="23" t="s">
        <v>115</v>
      </c>
      <c r="BB22" s="46"/>
      <c r="BC22" s="23" t="s">
        <v>115</v>
      </c>
      <c r="BD22" s="45" t="s">
        <v>118</v>
      </c>
      <c r="BE22" s="23" t="s">
        <v>115</v>
      </c>
      <c r="BF22" s="45" t="s">
        <v>118</v>
      </c>
      <c r="BG22" s="23" t="s">
        <v>115</v>
      </c>
      <c r="BH22" s="46"/>
      <c r="BI22" s="25" t="s">
        <v>117</v>
      </c>
      <c r="BJ22" s="46"/>
      <c r="BK22" s="25" t="s">
        <v>117</v>
      </c>
      <c r="BL22" s="46"/>
      <c r="BM22" s="25" t="s">
        <v>117</v>
      </c>
      <c r="BN22" s="46"/>
      <c r="BO22" s="25" t="s">
        <v>117</v>
      </c>
      <c r="BP22" s="46"/>
      <c r="BQ22" s="25" t="s">
        <v>117</v>
      </c>
      <c r="BR22" s="47">
        <v>15000</v>
      </c>
      <c r="BS22" s="25" t="s">
        <v>115</v>
      </c>
      <c r="BT22" s="46"/>
      <c r="BU22" s="25" t="s">
        <v>117</v>
      </c>
      <c r="BV22" s="46"/>
      <c r="BW22" s="25" t="s">
        <v>117</v>
      </c>
      <c r="BX22" s="46"/>
      <c r="BY22" s="25" t="s">
        <v>117</v>
      </c>
      <c r="BZ22" s="46"/>
      <c r="CA22" s="25" t="s">
        <v>117</v>
      </c>
      <c r="CB22" s="45" t="s">
        <v>159</v>
      </c>
      <c r="CC22" s="25" t="s">
        <v>116</v>
      </c>
      <c r="CD22" s="46"/>
      <c r="CE22" s="25" t="s">
        <v>117</v>
      </c>
      <c r="CF22" s="46"/>
      <c r="CG22" s="25" t="s">
        <v>117</v>
      </c>
      <c r="CH22" s="151"/>
      <c r="CI22" s="25" t="s">
        <v>116</v>
      </c>
      <c r="CJ22" s="151">
        <v>2500</v>
      </c>
      <c r="CK22" s="48" t="s">
        <v>116</v>
      </c>
      <c r="CL22" s="46">
        <v>1500</v>
      </c>
      <c r="CM22" s="48" t="s">
        <v>116</v>
      </c>
      <c r="CN22" s="46">
        <v>1500</v>
      </c>
      <c r="CO22" s="25" t="s">
        <v>116</v>
      </c>
      <c r="CP22" s="30">
        <v>400</v>
      </c>
      <c r="CQ22" s="23" t="s">
        <v>115</v>
      </c>
      <c r="CR22" s="32"/>
      <c r="CS22" s="23" t="s">
        <v>117</v>
      </c>
      <c r="CT22" s="32"/>
      <c r="CU22" s="23" t="s">
        <v>117</v>
      </c>
      <c r="CV22" s="32"/>
      <c r="CW22" s="23" t="s">
        <v>117</v>
      </c>
      <c r="CX22" s="32"/>
      <c r="CY22" s="25" t="s">
        <v>117</v>
      </c>
      <c r="CZ22" s="32"/>
      <c r="DA22" s="25" t="s">
        <v>117</v>
      </c>
      <c r="DB22" s="33" t="s">
        <v>120</v>
      </c>
      <c r="DC22" s="25" t="s">
        <v>116</v>
      </c>
      <c r="DD22" s="34">
        <f t="shared" si="3"/>
        <v>1568</v>
      </c>
      <c r="DE22" t="s">
        <v>282</v>
      </c>
      <c r="DF22" t="str">
        <f t="shared" si="1"/>
        <v>Brazil#Fund#Brazil FIC</v>
      </c>
      <c r="DG22" t="b">
        <f t="shared" si="4"/>
        <v>1</v>
      </c>
    </row>
    <row r="23" spans="1:111" ht="78.75" customHeight="1" x14ac:dyDescent="0.35">
      <c r="A23" s="35" t="s">
        <v>261</v>
      </c>
      <c r="B23" s="42" t="s">
        <v>262</v>
      </c>
      <c r="C23" s="35" t="s">
        <v>141</v>
      </c>
      <c r="D23" s="36" t="s">
        <v>283</v>
      </c>
      <c r="E23" s="35" t="s">
        <v>90</v>
      </c>
      <c r="F23" s="20" t="s">
        <v>284</v>
      </c>
      <c r="G23" s="20" t="s">
        <v>285</v>
      </c>
      <c r="H23" s="20" t="s">
        <v>145</v>
      </c>
      <c r="I23" s="20" t="s">
        <v>146</v>
      </c>
      <c r="J23" s="20" t="s">
        <v>266</v>
      </c>
      <c r="K23" s="20" t="s">
        <v>96</v>
      </c>
      <c r="L23" s="20" t="s">
        <v>97</v>
      </c>
      <c r="M23" s="20" t="s">
        <v>98</v>
      </c>
      <c r="N23" s="20" t="s">
        <v>147</v>
      </c>
      <c r="O23" s="20" t="s">
        <v>148</v>
      </c>
      <c r="P23" s="20" t="s">
        <v>149</v>
      </c>
      <c r="Q23" s="20" t="s">
        <v>150</v>
      </c>
      <c r="R23" s="20" t="s">
        <v>151</v>
      </c>
      <c r="S23" s="20" t="s">
        <v>152</v>
      </c>
      <c r="T23" s="20" t="s">
        <v>153</v>
      </c>
      <c r="U23" s="20" t="s">
        <v>154</v>
      </c>
      <c r="V23" s="21" t="s">
        <v>267</v>
      </c>
      <c r="W23" s="21" t="s">
        <v>203</v>
      </c>
      <c r="X23" s="21" t="s">
        <v>109</v>
      </c>
      <c r="Y23" s="21" t="s">
        <v>278</v>
      </c>
      <c r="Z23" s="21" t="s">
        <v>256</v>
      </c>
      <c r="AA23" s="21" t="s">
        <v>279</v>
      </c>
      <c r="AB23" s="21" t="s">
        <v>286</v>
      </c>
      <c r="AC23" s="21" t="s">
        <v>287</v>
      </c>
      <c r="AE23" s="23" t="s">
        <v>115</v>
      </c>
      <c r="AF23" s="38"/>
      <c r="AG23" s="23" t="s">
        <v>116</v>
      </c>
      <c r="AH23" s="38"/>
      <c r="AI23" s="25" t="s">
        <v>117</v>
      </c>
      <c r="AJ23" s="38"/>
      <c r="AK23" s="25" t="s">
        <v>117</v>
      </c>
      <c r="AL23" s="22">
        <v>0</v>
      </c>
      <c r="AM23" s="23" t="s">
        <v>115</v>
      </c>
      <c r="AN23" s="38"/>
      <c r="AO23" s="25" t="s">
        <v>117</v>
      </c>
      <c r="AP23" s="39" t="s">
        <v>118</v>
      </c>
      <c r="AQ23" s="23" t="s">
        <v>115</v>
      </c>
      <c r="AR23" s="40"/>
      <c r="AS23" s="23" t="s">
        <v>117</v>
      </c>
      <c r="AT23" s="39" t="s">
        <v>118</v>
      </c>
      <c r="AU23" s="23" t="s">
        <v>116</v>
      </c>
      <c r="AV23" s="39" t="s">
        <v>118</v>
      </c>
      <c r="AW23" s="23" t="s">
        <v>115</v>
      </c>
      <c r="AX23" s="39" t="s">
        <v>118</v>
      </c>
      <c r="AY23" s="23" t="s">
        <v>115</v>
      </c>
      <c r="AZ23" s="39" t="s">
        <v>118</v>
      </c>
      <c r="BA23" s="23" t="s">
        <v>115</v>
      </c>
      <c r="BB23" s="40"/>
      <c r="BC23" s="23" t="s">
        <v>115</v>
      </c>
      <c r="BD23" s="39" t="s">
        <v>118</v>
      </c>
      <c r="BE23" s="23" t="s">
        <v>115</v>
      </c>
      <c r="BF23" s="39" t="s">
        <v>118</v>
      </c>
      <c r="BG23" s="23" t="s">
        <v>115</v>
      </c>
      <c r="BH23" s="40"/>
      <c r="BI23" s="25" t="s">
        <v>117</v>
      </c>
      <c r="BJ23" s="40"/>
      <c r="BK23" s="25" t="s">
        <v>117</v>
      </c>
      <c r="BL23" s="40"/>
      <c r="BM23" s="25" t="s">
        <v>117</v>
      </c>
      <c r="BN23" s="40"/>
      <c r="BO23" s="25" t="s">
        <v>117</v>
      </c>
      <c r="BP23" s="40"/>
      <c r="BQ23" s="25" t="s">
        <v>117</v>
      </c>
      <c r="BR23" s="37">
        <v>15000</v>
      </c>
      <c r="BS23" s="25" t="s">
        <v>115</v>
      </c>
      <c r="BT23" s="40"/>
      <c r="BU23" s="25" t="s">
        <v>117</v>
      </c>
      <c r="BV23" s="40"/>
      <c r="BW23" s="25" t="s">
        <v>117</v>
      </c>
      <c r="BX23" s="40"/>
      <c r="BY23" s="25" t="s">
        <v>117</v>
      </c>
      <c r="BZ23" s="46"/>
      <c r="CA23" s="25" t="s">
        <v>117</v>
      </c>
      <c r="CB23" s="45" t="s">
        <v>159</v>
      </c>
      <c r="CC23" s="25" t="s">
        <v>116</v>
      </c>
      <c r="CD23" s="40"/>
      <c r="CE23" s="25" t="s">
        <v>117</v>
      </c>
      <c r="CF23" s="40"/>
      <c r="CG23" s="25" t="s">
        <v>117</v>
      </c>
      <c r="CH23" s="151"/>
      <c r="CI23" s="25" t="s">
        <v>116</v>
      </c>
      <c r="CJ23" s="151">
        <v>2500</v>
      </c>
      <c r="CK23" s="48" t="s">
        <v>116</v>
      </c>
      <c r="CL23" s="46">
        <v>1500</v>
      </c>
      <c r="CM23" s="48" t="s">
        <v>116</v>
      </c>
      <c r="CN23" s="46">
        <v>1500</v>
      </c>
      <c r="CO23" s="25" t="s">
        <v>116</v>
      </c>
      <c r="CP23" s="30">
        <v>400</v>
      </c>
      <c r="CQ23" s="23" t="s">
        <v>115</v>
      </c>
      <c r="CR23" s="32"/>
      <c r="CS23" s="23" t="s">
        <v>117</v>
      </c>
      <c r="CT23" s="32"/>
      <c r="CU23" s="23" t="s">
        <v>117</v>
      </c>
      <c r="CV23" s="32"/>
      <c r="CW23" s="23" t="s">
        <v>117</v>
      </c>
      <c r="CX23" s="32"/>
      <c r="CY23" s="25" t="s">
        <v>117</v>
      </c>
      <c r="CZ23" s="32"/>
      <c r="DA23" s="25" t="s">
        <v>117</v>
      </c>
      <c r="DB23" s="33" t="s">
        <v>120</v>
      </c>
      <c r="DC23" s="25" t="s">
        <v>116</v>
      </c>
      <c r="DD23" s="34">
        <f t="shared" si="3"/>
        <v>1568</v>
      </c>
      <c r="DE23" t="s">
        <v>288</v>
      </c>
      <c r="DF23" t="str">
        <f t="shared" si="1"/>
        <v>Brazil#Fund#Brazil FIA</v>
      </c>
      <c r="DG23" t="b">
        <f t="shared" si="4"/>
        <v>1</v>
      </c>
    </row>
    <row r="24" spans="1:111" ht="78.75" customHeight="1" x14ac:dyDescent="0.35">
      <c r="A24" s="42" t="s">
        <v>261</v>
      </c>
      <c r="B24" s="42" t="s">
        <v>262</v>
      </c>
      <c r="C24" s="42" t="s">
        <v>141</v>
      </c>
      <c r="D24" s="43" t="s">
        <v>289</v>
      </c>
      <c r="E24" s="42" t="s">
        <v>90</v>
      </c>
      <c r="F24" s="20" t="s">
        <v>290</v>
      </c>
      <c r="G24" s="20" t="s">
        <v>291</v>
      </c>
      <c r="H24" s="20" t="s">
        <v>145</v>
      </c>
      <c r="I24" s="20" t="s">
        <v>146</v>
      </c>
      <c r="J24" s="20" t="s">
        <v>266</v>
      </c>
      <c r="K24" s="20" t="s">
        <v>96</v>
      </c>
      <c r="L24" s="20" t="s">
        <v>97</v>
      </c>
      <c r="M24" s="20" t="s">
        <v>98</v>
      </c>
      <c r="N24" s="20" t="s">
        <v>147</v>
      </c>
      <c r="O24" s="20" t="s">
        <v>148</v>
      </c>
      <c r="P24" s="20" t="s">
        <v>149</v>
      </c>
      <c r="Q24" s="20" t="s">
        <v>150</v>
      </c>
      <c r="R24" s="20" t="s">
        <v>151</v>
      </c>
      <c r="S24" s="20" t="s">
        <v>152</v>
      </c>
      <c r="T24" s="20" t="s">
        <v>153</v>
      </c>
      <c r="U24" s="20" t="s">
        <v>154</v>
      </c>
      <c r="V24" s="21" t="s">
        <v>292</v>
      </c>
      <c r="W24" s="21" t="s">
        <v>203</v>
      </c>
      <c r="X24" s="21" t="s">
        <v>109</v>
      </c>
      <c r="Y24" s="21" t="s">
        <v>293</v>
      </c>
      <c r="Z24" s="21" t="s">
        <v>256</v>
      </c>
      <c r="AA24" s="21" t="s">
        <v>279</v>
      </c>
      <c r="AB24" s="21" t="s">
        <v>294</v>
      </c>
      <c r="AC24" s="21" t="s">
        <v>295</v>
      </c>
      <c r="AE24" s="23" t="s">
        <v>115</v>
      </c>
      <c r="AF24" s="44"/>
      <c r="AG24" s="23" t="s">
        <v>116</v>
      </c>
      <c r="AH24" s="44"/>
      <c r="AI24" s="25" t="s">
        <v>117</v>
      </c>
      <c r="AJ24" s="44"/>
      <c r="AK24" s="25" t="s">
        <v>117</v>
      </c>
      <c r="AL24" s="22">
        <v>0</v>
      </c>
      <c r="AM24" s="23" t="s">
        <v>115</v>
      </c>
      <c r="AN24" s="44"/>
      <c r="AO24" s="25" t="s">
        <v>117</v>
      </c>
      <c r="AP24" s="45" t="s">
        <v>118</v>
      </c>
      <c r="AQ24" s="23" t="s">
        <v>115</v>
      </c>
      <c r="AR24" s="46"/>
      <c r="AS24" s="23" t="s">
        <v>117</v>
      </c>
      <c r="AT24" s="45" t="s">
        <v>118</v>
      </c>
      <c r="AU24" s="23" t="s">
        <v>116</v>
      </c>
      <c r="AV24" s="45" t="s">
        <v>118</v>
      </c>
      <c r="AW24" s="23" t="s">
        <v>115</v>
      </c>
      <c r="AX24" s="45" t="s">
        <v>118</v>
      </c>
      <c r="AY24" s="23" t="s">
        <v>115</v>
      </c>
      <c r="AZ24" s="45" t="s">
        <v>118</v>
      </c>
      <c r="BA24" s="23" t="s">
        <v>115</v>
      </c>
      <c r="BB24" s="46"/>
      <c r="BC24" s="23" t="s">
        <v>115</v>
      </c>
      <c r="BD24" s="45" t="s">
        <v>118</v>
      </c>
      <c r="BE24" s="23" t="s">
        <v>115</v>
      </c>
      <c r="BF24" s="45" t="s">
        <v>118</v>
      </c>
      <c r="BG24" s="23" t="s">
        <v>115</v>
      </c>
      <c r="BH24" s="46"/>
      <c r="BI24" s="25" t="s">
        <v>117</v>
      </c>
      <c r="BJ24" s="46"/>
      <c r="BK24" s="25" t="s">
        <v>117</v>
      </c>
      <c r="BL24" s="46"/>
      <c r="BM24" s="25" t="s">
        <v>117</v>
      </c>
      <c r="BN24" s="46"/>
      <c r="BO24" s="25" t="s">
        <v>117</v>
      </c>
      <c r="BP24" s="46"/>
      <c r="BQ24" s="25" t="s">
        <v>117</v>
      </c>
      <c r="BR24" s="47">
        <v>15000</v>
      </c>
      <c r="BS24" s="25" t="s">
        <v>115</v>
      </c>
      <c r="BT24" s="46"/>
      <c r="BU24" s="25" t="s">
        <v>117</v>
      </c>
      <c r="BV24" s="46"/>
      <c r="BW24" s="25" t="s">
        <v>117</v>
      </c>
      <c r="BX24" s="46"/>
      <c r="BY24" s="25" t="s">
        <v>117</v>
      </c>
      <c r="BZ24" s="46"/>
      <c r="CA24" s="25" t="s">
        <v>117</v>
      </c>
      <c r="CB24" s="45" t="s">
        <v>159</v>
      </c>
      <c r="CC24" s="25" t="s">
        <v>116</v>
      </c>
      <c r="CD24" s="46"/>
      <c r="CE24" s="25" t="s">
        <v>117</v>
      </c>
      <c r="CF24" s="46"/>
      <c r="CG24" s="25" t="s">
        <v>117</v>
      </c>
      <c r="CH24" s="151"/>
      <c r="CI24" s="25" t="s">
        <v>116</v>
      </c>
      <c r="CJ24" s="151">
        <v>2500</v>
      </c>
      <c r="CK24" s="48" t="s">
        <v>116</v>
      </c>
      <c r="CL24" s="46">
        <v>1500</v>
      </c>
      <c r="CM24" s="48" t="s">
        <v>116</v>
      </c>
      <c r="CN24" s="46">
        <v>1500</v>
      </c>
      <c r="CO24" s="25" t="s">
        <v>116</v>
      </c>
      <c r="CP24" s="30">
        <v>400</v>
      </c>
      <c r="CQ24" s="23" t="s">
        <v>115</v>
      </c>
      <c r="CR24" s="32"/>
      <c r="CS24" s="23" t="s">
        <v>117</v>
      </c>
      <c r="CT24" s="32"/>
      <c r="CU24" s="23" t="s">
        <v>117</v>
      </c>
      <c r="CV24" s="32"/>
      <c r="CW24" s="23" t="s">
        <v>117</v>
      </c>
      <c r="CX24" s="32"/>
      <c r="CY24" s="25" t="s">
        <v>117</v>
      </c>
      <c r="CZ24" s="32"/>
      <c r="DA24" s="25" t="s">
        <v>117</v>
      </c>
      <c r="DB24" s="33" t="s">
        <v>120</v>
      </c>
      <c r="DC24" s="25" t="s">
        <v>116</v>
      </c>
      <c r="DD24" s="34">
        <f t="shared" si="3"/>
        <v>1568</v>
      </c>
      <c r="DE24" t="s">
        <v>296</v>
      </c>
      <c r="DF24" t="str">
        <f t="shared" si="1"/>
        <v>Brazil#Fund#Brazil FIP</v>
      </c>
      <c r="DG24" t="b">
        <f t="shared" si="4"/>
        <v>1</v>
      </c>
    </row>
    <row r="25" spans="1:111" ht="78.75" customHeight="1" x14ac:dyDescent="0.35">
      <c r="A25" s="35" t="s">
        <v>261</v>
      </c>
      <c r="B25" s="42" t="s">
        <v>262</v>
      </c>
      <c r="C25" s="35" t="s">
        <v>141</v>
      </c>
      <c r="D25" s="36" t="s">
        <v>297</v>
      </c>
      <c r="E25" s="35" t="s">
        <v>90</v>
      </c>
      <c r="F25" s="20" t="s">
        <v>298</v>
      </c>
      <c r="G25" s="20" t="s">
        <v>299</v>
      </c>
      <c r="H25" s="20" t="s">
        <v>145</v>
      </c>
      <c r="I25" s="20" t="s">
        <v>146</v>
      </c>
      <c r="J25" s="20" t="s">
        <v>266</v>
      </c>
      <c r="K25" s="20" t="s">
        <v>96</v>
      </c>
      <c r="L25" s="20" t="s">
        <v>97</v>
      </c>
      <c r="M25" s="20" t="s">
        <v>98</v>
      </c>
      <c r="N25" s="20" t="s">
        <v>147</v>
      </c>
      <c r="O25" s="20" t="s">
        <v>148</v>
      </c>
      <c r="P25" s="20" t="s">
        <v>149</v>
      </c>
      <c r="Q25" s="20" t="s">
        <v>150</v>
      </c>
      <c r="R25" s="20" t="s">
        <v>151</v>
      </c>
      <c r="S25" s="20" t="s">
        <v>152</v>
      </c>
      <c r="T25" s="20" t="s">
        <v>153</v>
      </c>
      <c r="U25" s="20" t="s">
        <v>154</v>
      </c>
      <c r="V25" s="21" t="s">
        <v>300</v>
      </c>
      <c r="W25" s="21" t="s">
        <v>203</v>
      </c>
      <c r="X25" s="21" t="s">
        <v>109</v>
      </c>
      <c r="Y25" s="21" t="s">
        <v>301</v>
      </c>
      <c r="Z25" s="21" t="s">
        <v>256</v>
      </c>
      <c r="AA25" s="21" t="s">
        <v>279</v>
      </c>
      <c r="AB25" s="21" t="s">
        <v>302</v>
      </c>
      <c r="AC25" s="21" t="s">
        <v>303</v>
      </c>
      <c r="AE25" s="23" t="s">
        <v>115</v>
      </c>
      <c r="AF25" s="38"/>
      <c r="AG25" s="23" t="s">
        <v>116</v>
      </c>
      <c r="AH25" s="38"/>
      <c r="AI25" s="25" t="s">
        <v>117</v>
      </c>
      <c r="AJ25" s="38"/>
      <c r="AK25" s="25" t="s">
        <v>117</v>
      </c>
      <c r="AL25" s="22">
        <v>0</v>
      </c>
      <c r="AM25" s="23" t="s">
        <v>115</v>
      </c>
      <c r="AN25" s="38"/>
      <c r="AO25" s="25" t="s">
        <v>117</v>
      </c>
      <c r="AP25" s="39" t="s">
        <v>118</v>
      </c>
      <c r="AQ25" s="23" t="s">
        <v>115</v>
      </c>
      <c r="AR25" s="40"/>
      <c r="AS25" s="23" t="s">
        <v>117</v>
      </c>
      <c r="AT25" s="39" t="s">
        <v>118</v>
      </c>
      <c r="AU25" s="23" t="s">
        <v>116</v>
      </c>
      <c r="AV25" s="39" t="s">
        <v>118</v>
      </c>
      <c r="AW25" s="23" t="s">
        <v>115</v>
      </c>
      <c r="AX25" s="39" t="s">
        <v>118</v>
      </c>
      <c r="AY25" s="23" t="s">
        <v>115</v>
      </c>
      <c r="AZ25" s="39" t="s">
        <v>118</v>
      </c>
      <c r="BA25" s="23" t="s">
        <v>115</v>
      </c>
      <c r="BB25" s="40"/>
      <c r="BC25" s="23" t="s">
        <v>115</v>
      </c>
      <c r="BD25" s="39" t="s">
        <v>118</v>
      </c>
      <c r="BE25" s="23" t="s">
        <v>115</v>
      </c>
      <c r="BF25" s="39" t="s">
        <v>118</v>
      </c>
      <c r="BG25" s="23" t="s">
        <v>115</v>
      </c>
      <c r="BH25" s="40"/>
      <c r="BI25" s="25" t="s">
        <v>117</v>
      </c>
      <c r="BJ25" s="40"/>
      <c r="BK25" s="25" t="s">
        <v>117</v>
      </c>
      <c r="BL25" s="40"/>
      <c r="BM25" s="25" t="s">
        <v>117</v>
      </c>
      <c r="BN25" s="40"/>
      <c r="BO25" s="25" t="s">
        <v>117</v>
      </c>
      <c r="BP25" s="40"/>
      <c r="BQ25" s="25" t="s">
        <v>117</v>
      </c>
      <c r="BR25" s="37">
        <v>15000</v>
      </c>
      <c r="BS25" s="25" t="s">
        <v>115</v>
      </c>
      <c r="BT25" s="40"/>
      <c r="BU25" s="25" t="s">
        <v>117</v>
      </c>
      <c r="BV25" s="40"/>
      <c r="BW25" s="25" t="s">
        <v>117</v>
      </c>
      <c r="BX25" s="40"/>
      <c r="BY25" s="25" t="s">
        <v>117</v>
      </c>
      <c r="BZ25" s="46"/>
      <c r="CA25" s="25" t="s">
        <v>117</v>
      </c>
      <c r="CB25" s="45" t="s">
        <v>159</v>
      </c>
      <c r="CC25" s="25" t="s">
        <v>116</v>
      </c>
      <c r="CD25" s="40"/>
      <c r="CE25" s="25" t="s">
        <v>117</v>
      </c>
      <c r="CF25" s="40"/>
      <c r="CG25" s="25" t="s">
        <v>117</v>
      </c>
      <c r="CH25" s="151"/>
      <c r="CI25" s="25" t="s">
        <v>116</v>
      </c>
      <c r="CJ25" s="151">
        <v>2500</v>
      </c>
      <c r="CK25" s="48" t="s">
        <v>116</v>
      </c>
      <c r="CL25" s="46">
        <v>1500</v>
      </c>
      <c r="CM25" s="48" t="s">
        <v>116</v>
      </c>
      <c r="CN25" s="46">
        <v>1500</v>
      </c>
      <c r="CO25" s="25" t="s">
        <v>116</v>
      </c>
      <c r="CP25" s="30">
        <v>400</v>
      </c>
      <c r="CQ25" s="23" t="s">
        <v>115</v>
      </c>
      <c r="CR25" s="32"/>
      <c r="CS25" s="23" t="s">
        <v>117</v>
      </c>
      <c r="CT25" s="32"/>
      <c r="CU25" s="23" t="s">
        <v>117</v>
      </c>
      <c r="CV25" s="32"/>
      <c r="CW25" s="23" t="s">
        <v>117</v>
      </c>
      <c r="CX25" s="32"/>
      <c r="CY25" s="25" t="s">
        <v>117</v>
      </c>
      <c r="CZ25" s="32"/>
      <c r="DA25" s="25" t="s">
        <v>117</v>
      </c>
      <c r="DB25" s="33" t="s">
        <v>120</v>
      </c>
      <c r="DC25" s="25" t="s">
        <v>116</v>
      </c>
      <c r="DD25" s="34">
        <f t="shared" si="3"/>
        <v>1568</v>
      </c>
      <c r="DE25" t="s">
        <v>304</v>
      </c>
      <c r="DF25" t="str">
        <f t="shared" si="1"/>
        <v>Brazil#Fund#Brazil FII</v>
      </c>
      <c r="DG25" t="b">
        <f t="shared" si="4"/>
        <v>1</v>
      </c>
    </row>
    <row r="26" spans="1:111" ht="78.75" customHeight="1" x14ac:dyDescent="0.35">
      <c r="A26" s="42" t="s">
        <v>261</v>
      </c>
      <c r="B26" s="42" t="s">
        <v>262</v>
      </c>
      <c r="C26" s="42" t="s">
        <v>141</v>
      </c>
      <c r="D26" s="43" t="s">
        <v>305</v>
      </c>
      <c r="E26" s="42" t="s">
        <v>90</v>
      </c>
      <c r="F26" s="20" t="s">
        <v>306</v>
      </c>
      <c r="G26" s="20" t="s">
        <v>307</v>
      </c>
      <c r="H26" s="20" t="s">
        <v>145</v>
      </c>
      <c r="I26" s="20" t="s">
        <v>146</v>
      </c>
      <c r="J26" s="20" t="s">
        <v>266</v>
      </c>
      <c r="K26" s="20" t="s">
        <v>96</v>
      </c>
      <c r="L26" s="20" t="s">
        <v>97</v>
      </c>
      <c r="M26" s="20" t="s">
        <v>98</v>
      </c>
      <c r="N26" s="20" t="s">
        <v>147</v>
      </c>
      <c r="O26" s="20" t="s">
        <v>148</v>
      </c>
      <c r="P26" s="20" t="s">
        <v>149</v>
      </c>
      <c r="Q26" s="20" t="s">
        <v>150</v>
      </c>
      <c r="R26" s="20" t="s">
        <v>151</v>
      </c>
      <c r="S26" s="20" t="s">
        <v>152</v>
      </c>
      <c r="T26" s="20" t="s">
        <v>153</v>
      </c>
      <c r="U26" s="20" t="s">
        <v>154</v>
      </c>
      <c r="V26" s="21" t="s">
        <v>292</v>
      </c>
      <c r="W26" s="21" t="s">
        <v>203</v>
      </c>
      <c r="X26" s="21" t="s">
        <v>109</v>
      </c>
      <c r="Y26" s="21" t="s">
        <v>308</v>
      </c>
      <c r="Z26" s="21" t="s">
        <v>256</v>
      </c>
      <c r="AA26" s="21" t="s">
        <v>279</v>
      </c>
      <c r="AB26" s="21" t="s">
        <v>309</v>
      </c>
      <c r="AC26" s="21" t="s">
        <v>310</v>
      </c>
      <c r="AE26" s="23" t="s">
        <v>115</v>
      </c>
      <c r="AF26" s="44"/>
      <c r="AG26" s="23" t="s">
        <v>116</v>
      </c>
      <c r="AH26" s="44"/>
      <c r="AI26" s="25" t="s">
        <v>117</v>
      </c>
      <c r="AJ26" s="44"/>
      <c r="AK26" s="25" t="s">
        <v>117</v>
      </c>
      <c r="AL26" s="22">
        <v>0</v>
      </c>
      <c r="AM26" s="23" t="s">
        <v>115</v>
      </c>
      <c r="AN26" s="44"/>
      <c r="AO26" s="25" t="s">
        <v>117</v>
      </c>
      <c r="AP26" s="45" t="s">
        <v>118</v>
      </c>
      <c r="AQ26" s="23" t="s">
        <v>115</v>
      </c>
      <c r="AR26" s="46"/>
      <c r="AS26" s="23" t="s">
        <v>117</v>
      </c>
      <c r="AT26" s="45" t="s">
        <v>118</v>
      </c>
      <c r="AU26" s="23" t="s">
        <v>116</v>
      </c>
      <c r="AV26" s="45" t="s">
        <v>118</v>
      </c>
      <c r="AW26" s="23" t="s">
        <v>115</v>
      </c>
      <c r="AX26" s="45" t="s">
        <v>118</v>
      </c>
      <c r="AY26" s="23" t="s">
        <v>115</v>
      </c>
      <c r="AZ26" s="45" t="s">
        <v>118</v>
      </c>
      <c r="BA26" s="23" t="s">
        <v>115</v>
      </c>
      <c r="BB26" s="46"/>
      <c r="BC26" s="23" t="s">
        <v>115</v>
      </c>
      <c r="BD26" s="45" t="s">
        <v>118</v>
      </c>
      <c r="BE26" s="23" t="s">
        <v>115</v>
      </c>
      <c r="BF26" s="45" t="s">
        <v>118</v>
      </c>
      <c r="BG26" s="23" t="s">
        <v>115</v>
      </c>
      <c r="BH26" s="46"/>
      <c r="BI26" s="25" t="s">
        <v>117</v>
      </c>
      <c r="BJ26" s="46"/>
      <c r="BK26" s="25" t="s">
        <v>117</v>
      </c>
      <c r="BL26" s="46"/>
      <c r="BM26" s="25" t="s">
        <v>117</v>
      </c>
      <c r="BN26" s="46"/>
      <c r="BO26" s="25" t="s">
        <v>117</v>
      </c>
      <c r="BP26" s="46"/>
      <c r="BQ26" s="25" t="s">
        <v>117</v>
      </c>
      <c r="BR26" s="47">
        <v>15000</v>
      </c>
      <c r="BS26" s="25" t="s">
        <v>115</v>
      </c>
      <c r="BT26" s="46"/>
      <c r="BU26" s="25" t="s">
        <v>117</v>
      </c>
      <c r="BV26" s="46"/>
      <c r="BW26" s="25" t="s">
        <v>117</v>
      </c>
      <c r="BX26" s="46"/>
      <c r="BY26" s="25" t="s">
        <v>117</v>
      </c>
      <c r="BZ26" s="46"/>
      <c r="CA26" s="25" t="s">
        <v>117</v>
      </c>
      <c r="CB26" s="45" t="s">
        <v>159</v>
      </c>
      <c r="CC26" s="25" t="s">
        <v>116</v>
      </c>
      <c r="CD26" s="46"/>
      <c r="CE26" s="25" t="s">
        <v>117</v>
      </c>
      <c r="CF26" s="46"/>
      <c r="CG26" s="25" t="s">
        <v>117</v>
      </c>
      <c r="CH26" s="151"/>
      <c r="CI26" s="25" t="s">
        <v>116</v>
      </c>
      <c r="CJ26" s="151">
        <v>2500</v>
      </c>
      <c r="CK26" s="48" t="s">
        <v>116</v>
      </c>
      <c r="CL26" s="46">
        <v>1500</v>
      </c>
      <c r="CM26" s="48" t="s">
        <v>116</v>
      </c>
      <c r="CN26" s="46">
        <v>1500</v>
      </c>
      <c r="CO26" s="25" t="s">
        <v>116</v>
      </c>
      <c r="CP26" s="30">
        <v>400</v>
      </c>
      <c r="CQ26" s="23" t="s">
        <v>115</v>
      </c>
      <c r="CR26" s="32"/>
      <c r="CS26" s="23" t="s">
        <v>117</v>
      </c>
      <c r="CT26" s="32"/>
      <c r="CU26" s="23" t="s">
        <v>117</v>
      </c>
      <c r="CV26" s="32"/>
      <c r="CW26" s="23" t="s">
        <v>117</v>
      </c>
      <c r="CX26" s="32"/>
      <c r="CY26" s="25" t="s">
        <v>117</v>
      </c>
      <c r="CZ26" s="32"/>
      <c r="DA26" s="25" t="s">
        <v>117</v>
      </c>
      <c r="DB26" s="33" t="s">
        <v>120</v>
      </c>
      <c r="DC26" s="25" t="s">
        <v>116</v>
      </c>
      <c r="DD26" s="34">
        <f t="shared" si="3"/>
        <v>1568</v>
      </c>
      <c r="DE26" t="s">
        <v>311</v>
      </c>
      <c r="DF26" t="str">
        <f t="shared" si="1"/>
        <v>Brazil#Fund#Brazil FI-Infra</v>
      </c>
      <c r="DG26" t="b">
        <f t="shared" si="4"/>
        <v>1</v>
      </c>
    </row>
    <row r="27" spans="1:111" ht="15" hidden="1" customHeight="1" x14ac:dyDescent="0.35">
      <c r="A27" s="184" t="s">
        <v>312</v>
      </c>
      <c r="B27" s="184"/>
      <c r="C27" s="184"/>
      <c r="D27" s="184"/>
      <c r="E27" s="184"/>
      <c r="F27" s="184"/>
      <c r="G27" s="184"/>
      <c r="H27" s="184"/>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c r="AR27" s="184"/>
      <c r="AS27" s="184"/>
      <c r="AT27" s="184"/>
      <c r="AU27" s="184"/>
      <c r="AV27" s="184"/>
      <c r="AW27" s="184"/>
      <c r="AX27" s="184"/>
      <c r="AY27" s="184"/>
      <c r="AZ27" s="184"/>
      <c r="BA27" s="184"/>
      <c r="BB27" s="184"/>
      <c r="BC27" s="184"/>
      <c r="BD27" s="184"/>
      <c r="BE27" s="184"/>
      <c r="BF27" s="184"/>
      <c r="BG27" s="184"/>
      <c r="BH27" s="184"/>
      <c r="BI27" s="184"/>
      <c r="BJ27" s="184"/>
      <c r="BK27" s="184"/>
      <c r="BL27" s="184"/>
      <c r="BM27" s="184"/>
      <c r="BN27" s="184"/>
      <c r="BO27" s="184"/>
      <c r="BP27" s="184"/>
      <c r="BQ27" s="184"/>
      <c r="BR27" s="184"/>
      <c r="BS27" s="184"/>
      <c r="BT27" s="184"/>
      <c r="BU27" s="184"/>
      <c r="BV27" s="184"/>
      <c r="BW27" s="184"/>
      <c r="BX27" s="184"/>
      <c r="BY27" s="184"/>
      <c r="BZ27" s="184"/>
      <c r="CA27" s="184"/>
      <c r="CB27" s="184"/>
      <c r="CC27" s="184"/>
      <c r="CD27" s="184"/>
      <c r="CE27" s="184"/>
      <c r="CF27" s="184"/>
      <c r="CG27" s="184"/>
      <c r="CH27" s="184"/>
      <c r="CI27" s="184"/>
      <c r="CJ27" s="184"/>
      <c r="CK27" s="184"/>
      <c r="CL27" s="184"/>
      <c r="CM27" s="184"/>
      <c r="CN27" s="184"/>
      <c r="CO27" s="184"/>
      <c r="CP27" s="184"/>
      <c r="CQ27" s="184"/>
      <c r="CR27" s="184"/>
      <c r="CS27" s="184"/>
      <c r="CT27" s="184"/>
      <c r="CU27" s="184"/>
      <c r="CV27" s="184"/>
      <c r="CW27" s="184"/>
      <c r="CX27" s="184"/>
      <c r="CY27" s="184"/>
      <c r="CZ27" s="184"/>
      <c r="DA27" s="184"/>
      <c r="DB27" s="184"/>
      <c r="DC27" s="184"/>
      <c r="DE27" t="s">
        <v>85</v>
      </c>
      <c r="DF27" t="str">
        <f t="shared" si="1"/>
        <v xml:space="preserve">   BRITISH VIRGIN ISLANDS##</v>
      </c>
    </row>
    <row r="28" spans="1:111" ht="71.25" hidden="1" customHeight="1" x14ac:dyDescent="0.35">
      <c r="A28" s="18" t="s">
        <v>313</v>
      </c>
      <c r="B28" s="18" t="s">
        <v>314</v>
      </c>
      <c r="C28" s="18" t="s">
        <v>88</v>
      </c>
      <c r="D28" s="19" t="s">
        <v>315</v>
      </c>
      <c r="E28" s="18" t="s">
        <v>90</v>
      </c>
      <c r="F28" s="20" t="s">
        <v>316</v>
      </c>
      <c r="G28" s="20" t="s">
        <v>317</v>
      </c>
      <c r="H28" s="20" t="s">
        <v>93</v>
      </c>
      <c r="I28" s="20" t="s">
        <v>94</v>
      </c>
      <c r="J28" s="20" t="s">
        <v>318</v>
      </c>
      <c r="K28" s="20" t="s">
        <v>96</v>
      </c>
      <c r="L28" s="20" t="s">
        <v>97</v>
      </c>
      <c r="M28" s="20" t="s">
        <v>98</v>
      </c>
      <c r="N28" s="20" t="s">
        <v>319</v>
      </c>
      <c r="O28" s="20" t="s">
        <v>100</v>
      </c>
      <c r="P28" s="20" t="s">
        <v>101</v>
      </c>
      <c r="Q28" s="20" t="s">
        <v>102</v>
      </c>
      <c r="R28" s="20" t="s">
        <v>103</v>
      </c>
      <c r="S28" s="20" t="s">
        <v>104</v>
      </c>
      <c r="T28" s="20" t="s">
        <v>105</v>
      </c>
      <c r="U28" s="20" t="s">
        <v>106</v>
      </c>
      <c r="V28" s="21" t="s">
        <v>107</v>
      </c>
      <c r="W28" s="21" t="s">
        <v>108</v>
      </c>
      <c r="X28" s="21" t="s">
        <v>109</v>
      </c>
      <c r="Y28" s="21" t="s">
        <v>320</v>
      </c>
      <c r="Z28" s="21" t="s">
        <v>321</v>
      </c>
      <c r="AA28" s="21" t="s">
        <v>112</v>
      </c>
      <c r="AB28" s="21" t="s">
        <v>322</v>
      </c>
      <c r="AC28" s="21" t="s">
        <v>323</v>
      </c>
      <c r="AD28" s="22">
        <v>1780</v>
      </c>
      <c r="AE28" s="23" t="s">
        <v>115</v>
      </c>
      <c r="AF28" s="24"/>
      <c r="AG28" s="23" t="s">
        <v>116</v>
      </c>
      <c r="AH28" s="24"/>
      <c r="AI28" s="25" t="s">
        <v>117</v>
      </c>
      <c r="AJ28" s="24"/>
      <c r="AK28" s="25" t="s">
        <v>117</v>
      </c>
      <c r="AL28" s="22">
        <v>0</v>
      </c>
      <c r="AM28" s="23" t="s">
        <v>115</v>
      </c>
      <c r="AN28" s="24"/>
      <c r="AO28" s="25" t="s">
        <v>117</v>
      </c>
      <c r="AP28" s="26">
        <v>2500</v>
      </c>
      <c r="AQ28" s="23" t="s">
        <v>116</v>
      </c>
      <c r="AR28" s="24"/>
      <c r="AS28" s="23" t="s">
        <v>117</v>
      </c>
      <c r="AT28" s="27" t="s">
        <v>118</v>
      </c>
      <c r="AU28" s="23" t="s">
        <v>116</v>
      </c>
      <c r="AV28" s="22">
        <v>930</v>
      </c>
      <c r="AW28" s="23" t="s">
        <v>115</v>
      </c>
      <c r="AX28" s="22">
        <v>1010</v>
      </c>
      <c r="AY28" s="23">
        <v>0</v>
      </c>
      <c r="AZ28" s="22">
        <v>550</v>
      </c>
      <c r="BA28" s="23" t="s">
        <v>115</v>
      </c>
      <c r="BB28" s="24"/>
      <c r="BC28" s="23" t="s">
        <v>115</v>
      </c>
      <c r="BD28" s="26">
        <v>1000</v>
      </c>
      <c r="BE28" s="23" t="s">
        <v>116</v>
      </c>
      <c r="BF28" s="22">
        <v>1500</v>
      </c>
      <c r="BG28" s="23" t="s">
        <v>116</v>
      </c>
      <c r="BH28" s="28"/>
      <c r="BI28" s="25" t="s">
        <v>117</v>
      </c>
      <c r="BJ28" s="28"/>
      <c r="BK28" s="25" t="s">
        <v>117</v>
      </c>
      <c r="BL28" s="22">
        <v>350</v>
      </c>
      <c r="BM28" s="25" t="s">
        <v>116</v>
      </c>
      <c r="BN28" s="22">
        <v>125</v>
      </c>
      <c r="BO28" s="25" t="s">
        <v>116</v>
      </c>
      <c r="BP28" s="28"/>
      <c r="BQ28" s="25" t="s">
        <v>117</v>
      </c>
      <c r="BR28" s="28"/>
      <c r="BS28" s="25" t="s">
        <v>117</v>
      </c>
      <c r="BT28" s="28"/>
      <c r="BU28" s="25" t="s">
        <v>117</v>
      </c>
      <c r="BV28" s="28"/>
      <c r="BW28" s="25" t="s">
        <v>117</v>
      </c>
      <c r="BX28" s="28"/>
      <c r="BY28" s="25" t="s">
        <v>117</v>
      </c>
      <c r="BZ28" s="28"/>
      <c r="CA28" s="25" t="s">
        <v>117</v>
      </c>
      <c r="CB28" s="28"/>
      <c r="CC28" s="25" t="s">
        <v>117</v>
      </c>
      <c r="CD28" s="28"/>
      <c r="CE28" s="25" t="s">
        <v>117</v>
      </c>
      <c r="CF28" s="28"/>
      <c r="CG28" s="25" t="s">
        <v>117</v>
      </c>
      <c r="CH28" s="28"/>
      <c r="CI28" s="25"/>
      <c r="CJ28" s="28"/>
      <c r="CK28" s="29" t="s">
        <v>117</v>
      </c>
      <c r="CL28" s="28"/>
      <c r="CM28" s="29" t="s">
        <v>117</v>
      </c>
      <c r="CN28" s="28"/>
      <c r="CO28" s="25" t="s">
        <v>117</v>
      </c>
      <c r="CP28" s="30">
        <v>400</v>
      </c>
      <c r="CQ28" s="23" t="s">
        <v>115</v>
      </c>
      <c r="CR28" s="30">
        <v>300</v>
      </c>
      <c r="CS28" s="23" t="s">
        <v>115</v>
      </c>
      <c r="CT28" s="30">
        <v>125</v>
      </c>
      <c r="CU28" s="23" t="s">
        <v>115</v>
      </c>
      <c r="CV28" s="32"/>
      <c r="CW28" s="23" t="s">
        <v>117</v>
      </c>
      <c r="CX28" s="32"/>
      <c r="CY28" s="25" t="s">
        <v>117</v>
      </c>
      <c r="CZ28" s="32"/>
      <c r="DA28" s="25" t="s">
        <v>117</v>
      </c>
      <c r="DB28" s="33" t="s">
        <v>120</v>
      </c>
      <c r="DC28" s="25" t="s">
        <v>116</v>
      </c>
      <c r="DD28" s="34">
        <f t="shared" ref="DD28:DD36" si="5">ROUND(0.075*SUM(AD28,AF28,AH28,AJ28,AL28,AN28,AP28,AR28,AT28,AV28,AX28,AZ28,BB28,BR28,BT28,BV28,BX28,BZ28,CB28,CD28,CF28,CJ28,CL28,CN28,CP28,CR28,CT28,CV28,CX28,CZ28),0)</f>
        <v>570</v>
      </c>
      <c r="DE28" t="s">
        <v>324</v>
      </c>
      <c r="DF28" t="str">
        <f t="shared" si="1"/>
        <v>British Virgin Islands#Company#British Virgin Islands BVIBC</v>
      </c>
      <c r="DG28" t="b">
        <f t="shared" ref="DG28:DG36" si="6">DE28=DF28</f>
        <v>1</v>
      </c>
    </row>
    <row r="29" spans="1:111" ht="90" hidden="1" customHeight="1" x14ac:dyDescent="0.35">
      <c r="A29" s="35" t="s">
        <v>313</v>
      </c>
      <c r="B29" s="18" t="s">
        <v>314</v>
      </c>
      <c r="C29" s="35" t="s">
        <v>88</v>
      </c>
      <c r="D29" s="36" t="s">
        <v>325</v>
      </c>
      <c r="E29" s="35" t="s">
        <v>90</v>
      </c>
      <c r="F29" s="20" t="s">
        <v>326</v>
      </c>
      <c r="G29" s="20" t="s">
        <v>327</v>
      </c>
      <c r="H29" s="20" t="s">
        <v>93</v>
      </c>
      <c r="I29" s="20" t="s">
        <v>94</v>
      </c>
      <c r="J29" s="20" t="s">
        <v>318</v>
      </c>
      <c r="K29" s="20" t="s">
        <v>96</v>
      </c>
      <c r="L29" s="20" t="s">
        <v>97</v>
      </c>
      <c r="M29" s="20" t="s">
        <v>98</v>
      </c>
      <c r="N29" s="20" t="s">
        <v>319</v>
      </c>
      <c r="O29" s="20" t="s">
        <v>100</v>
      </c>
      <c r="P29" s="20" t="s">
        <v>101</v>
      </c>
      <c r="Q29" s="20" t="s">
        <v>102</v>
      </c>
      <c r="R29" s="20" t="s">
        <v>103</v>
      </c>
      <c r="S29" s="20" t="s">
        <v>104</v>
      </c>
      <c r="T29" s="20" t="s">
        <v>105</v>
      </c>
      <c r="U29" s="20" t="s">
        <v>106</v>
      </c>
      <c r="V29" s="21" t="s">
        <v>180</v>
      </c>
      <c r="W29" s="21" t="s">
        <v>108</v>
      </c>
      <c r="X29" s="21" t="s">
        <v>181</v>
      </c>
      <c r="Y29" s="21" t="s">
        <v>328</v>
      </c>
      <c r="Z29" s="21" t="s">
        <v>111</v>
      </c>
      <c r="AA29" s="21" t="s">
        <v>112</v>
      </c>
      <c r="AB29" s="21" t="s">
        <v>329</v>
      </c>
      <c r="AC29" s="21" t="s">
        <v>330</v>
      </c>
      <c r="AD29" s="37">
        <v>3500</v>
      </c>
      <c r="AE29" s="23" t="s">
        <v>115</v>
      </c>
      <c r="AF29" s="38"/>
      <c r="AG29" s="23" t="s">
        <v>116</v>
      </c>
      <c r="AH29" s="38"/>
      <c r="AI29" s="25" t="s">
        <v>117</v>
      </c>
      <c r="AJ29" s="38"/>
      <c r="AK29" s="25" t="s">
        <v>117</v>
      </c>
      <c r="AL29" s="22">
        <v>0</v>
      </c>
      <c r="AM29" s="23" t="s">
        <v>115</v>
      </c>
      <c r="AN29" s="38"/>
      <c r="AO29" s="25" t="s">
        <v>117</v>
      </c>
      <c r="AP29" s="37">
        <v>2800</v>
      </c>
      <c r="AQ29" s="23" t="s">
        <v>115</v>
      </c>
      <c r="AR29" s="38"/>
      <c r="AS29" s="23" t="s">
        <v>117</v>
      </c>
      <c r="AT29" s="39" t="s">
        <v>118</v>
      </c>
      <c r="AU29" s="23" t="s">
        <v>116</v>
      </c>
      <c r="AV29" s="39">
        <v>930</v>
      </c>
      <c r="AW29" s="23" t="s">
        <v>115</v>
      </c>
      <c r="AX29" s="39" t="s">
        <v>118</v>
      </c>
      <c r="AY29" s="23">
        <v>0</v>
      </c>
      <c r="AZ29" s="39" t="s">
        <v>118</v>
      </c>
      <c r="BA29" s="23" t="s">
        <v>115</v>
      </c>
      <c r="BB29" s="40"/>
      <c r="BC29" s="23" t="s">
        <v>115</v>
      </c>
      <c r="BD29" s="39" t="s">
        <v>118</v>
      </c>
      <c r="BE29" s="23" t="s">
        <v>115</v>
      </c>
      <c r="BF29" s="39" t="s">
        <v>118</v>
      </c>
      <c r="BG29" s="23" t="s">
        <v>115</v>
      </c>
      <c r="BH29" s="40"/>
      <c r="BI29" s="25" t="s">
        <v>117</v>
      </c>
      <c r="BJ29" s="40"/>
      <c r="BK29" s="25" t="s">
        <v>117</v>
      </c>
      <c r="BL29" s="40"/>
      <c r="BM29" s="25" t="s">
        <v>117</v>
      </c>
      <c r="BN29" s="40"/>
      <c r="BO29" s="25" t="s">
        <v>117</v>
      </c>
      <c r="BP29" s="40"/>
      <c r="BQ29" s="25" t="s">
        <v>117</v>
      </c>
      <c r="BR29" s="40"/>
      <c r="BS29" s="25" t="s">
        <v>117</v>
      </c>
      <c r="BT29" s="40"/>
      <c r="BU29" s="25" t="s">
        <v>117</v>
      </c>
      <c r="BV29" s="40"/>
      <c r="BW29" s="25" t="s">
        <v>117</v>
      </c>
      <c r="BX29" s="40"/>
      <c r="BY29" s="25" t="s">
        <v>117</v>
      </c>
      <c r="BZ29" s="40"/>
      <c r="CA29" s="25" t="s">
        <v>117</v>
      </c>
      <c r="CB29" s="40"/>
      <c r="CC29" s="25" t="s">
        <v>117</v>
      </c>
      <c r="CD29" s="40"/>
      <c r="CE29" s="25" t="s">
        <v>117</v>
      </c>
      <c r="CF29" s="40"/>
      <c r="CG29" s="25" t="s">
        <v>117</v>
      </c>
      <c r="CH29" s="40"/>
      <c r="CI29" s="25"/>
      <c r="CJ29" s="40"/>
      <c r="CK29" s="41" t="s">
        <v>117</v>
      </c>
      <c r="CL29" s="40"/>
      <c r="CM29" s="41" t="s">
        <v>117</v>
      </c>
      <c r="CN29" s="40"/>
      <c r="CO29" s="25" t="s">
        <v>117</v>
      </c>
      <c r="CP29" s="30">
        <v>400</v>
      </c>
      <c r="CQ29" s="23" t="s">
        <v>115</v>
      </c>
      <c r="CR29" s="30">
        <v>300</v>
      </c>
      <c r="CS29" s="23" t="s">
        <v>115</v>
      </c>
      <c r="CT29" s="30">
        <v>125</v>
      </c>
      <c r="CU29" s="23" t="s">
        <v>115</v>
      </c>
      <c r="CV29" s="32"/>
      <c r="CW29" s="23" t="s">
        <v>117</v>
      </c>
      <c r="CX29" s="32"/>
      <c r="CY29" s="25" t="s">
        <v>117</v>
      </c>
      <c r="CZ29" s="32"/>
      <c r="DA29" s="25" t="s">
        <v>117</v>
      </c>
      <c r="DB29" s="33" t="s">
        <v>120</v>
      </c>
      <c r="DC29" s="25" t="s">
        <v>116</v>
      </c>
      <c r="DD29" s="34">
        <f t="shared" si="5"/>
        <v>604</v>
      </c>
      <c r="DE29" t="s">
        <v>331</v>
      </c>
      <c r="DF29" t="str">
        <f t="shared" si="1"/>
        <v>British Virgin Islands#Company#British Virgin Islands SPC</v>
      </c>
      <c r="DG29" t="b">
        <f t="shared" si="6"/>
        <v>1</v>
      </c>
    </row>
    <row r="30" spans="1:111" ht="78.75" hidden="1" customHeight="1" x14ac:dyDescent="0.35">
      <c r="A30" s="18" t="s">
        <v>313</v>
      </c>
      <c r="B30" s="18" t="s">
        <v>314</v>
      </c>
      <c r="C30" s="18" t="s">
        <v>122</v>
      </c>
      <c r="D30" s="19" t="s">
        <v>332</v>
      </c>
      <c r="E30" s="18" t="s">
        <v>90</v>
      </c>
      <c r="F30" s="20" t="s">
        <v>333</v>
      </c>
      <c r="G30" s="20" t="s">
        <v>334</v>
      </c>
      <c r="H30" s="20" t="s">
        <v>126</v>
      </c>
      <c r="I30" s="20" t="s">
        <v>127</v>
      </c>
      <c r="J30" s="20" t="s">
        <v>318</v>
      </c>
      <c r="K30" s="20" t="s">
        <v>96</v>
      </c>
      <c r="L30" s="20" t="s">
        <v>97</v>
      </c>
      <c r="M30" s="20" t="s">
        <v>98</v>
      </c>
      <c r="N30" s="20" t="s">
        <v>128</v>
      </c>
      <c r="O30" s="20" t="s">
        <v>129</v>
      </c>
      <c r="P30" s="20" t="s">
        <v>130</v>
      </c>
      <c r="Q30" s="20" t="s">
        <v>131</v>
      </c>
      <c r="R30" s="20" t="s">
        <v>132</v>
      </c>
      <c r="S30" s="20" t="s">
        <v>133</v>
      </c>
      <c r="T30" s="20" t="s">
        <v>134</v>
      </c>
      <c r="U30" s="20" t="s">
        <v>135</v>
      </c>
      <c r="V30" s="21" t="s">
        <v>335</v>
      </c>
      <c r="W30" s="21" t="s">
        <v>108</v>
      </c>
      <c r="X30" s="21" t="s">
        <v>109</v>
      </c>
      <c r="Y30" s="21" t="s">
        <v>336</v>
      </c>
      <c r="Z30" s="21" t="s">
        <v>111</v>
      </c>
      <c r="AA30" s="21"/>
      <c r="AB30" s="21" t="s">
        <v>337</v>
      </c>
      <c r="AC30" s="21" t="s">
        <v>338</v>
      </c>
      <c r="AD30" s="22">
        <v>5530</v>
      </c>
      <c r="AE30" s="23" t="s">
        <v>115</v>
      </c>
      <c r="AF30" s="24"/>
      <c r="AG30" s="23" t="s">
        <v>116</v>
      </c>
      <c r="AH30" s="24"/>
      <c r="AI30" s="25" t="s">
        <v>117</v>
      </c>
      <c r="AJ30" s="24"/>
      <c r="AK30" s="25" t="s">
        <v>117</v>
      </c>
      <c r="AL30" s="22">
        <v>0</v>
      </c>
      <c r="AM30" s="23" t="s">
        <v>115</v>
      </c>
      <c r="AN30" s="24"/>
      <c r="AO30" s="25" t="s">
        <v>117</v>
      </c>
      <c r="AQ30" s="23" t="s">
        <v>117</v>
      </c>
      <c r="AR30" s="22">
        <v>5530</v>
      </c>
      <c r="AS30" s="23" t="s">
        <v>115</v>
      </c>
      <c r="AT30" s="27" t="s">
        <v>118</v>
      </c>
      <c r="AU30" s="23" t="s">
        <v>116</v>
      </c>
      <c r="AV30" s="22"/>
      <c r="AW30" s="23" t="s">
        <v>115</v>
      </c>
      <c r="AX30" s="27" t="s">
        <v>118</v>
      </c>
      <c r="AY30" s="23" t="s">
        <v>115</v>
      </c>
      <c r="AZ30" s="22">
        <v>550</v>
      </c>
      <c r="BA30" s="23" t="s">
        <v>115</v>
      </c>
      <c r="BB30" s="24"/>
      <c r="BC30" s="23" t="s">
        <v>115</v>
      </c>
      <c r="BD30" s="22">
        <v>1500</v>
      </c>
      <c r="BE30" s="23" t="s">
        <v>115</v>
      </c>
      <c r="BF30" s="27" t="s">
        <v>118</v>
      </c>
      <c r="BG30" s="23" t="s">
        <v>115</v>
      </c>
      <c r="BH30" s="28"/>
      <c r="BI30" s="25" t="s">
        <v>117</v>
      </c>
      <c r="BJ30" s="28"/>
      <c r="BK30" s="25" t="s">
        <v>117</v>
      </c>
      <c r="BL30" s="28"/>
      <c r="BM30" s="25" t="s">
        <v>117</v>
      </c>
      <c r="BN30" s="28"/>
      <c r="BO30" s="25" t="s">
        <v>117</v>
      </c>
      <c r="BP30" s="28"/>
      <c r="BQ30" s="25" t="s">
        <v>117</v>
      </c>
      <c r="BR30" s="28"/>
      <c r="BS30" s="25" t="s">
        <v>117</v>
      </c>
      <c r="BT30" s="28"/>
      <c r="BU30" s="25" t="s">
        <v>117</v>
      </c>
      <c r="BV30" s="28"/>
      <c r="BW30" s="25" t="s">
        <v>117</v>
      </c>
      <c r="BX30" s="28"/>
      <c r="BY30" s="25" t="s">
        <v>117</v>
      </c>
      <c r="BZ30" s="28"/>
      <c r="CA30" s="25" t="s">
        <v>117</v>
      </c>
      <c r="CB30" s="28"/>
      <c r="CC30" s="25" t="s">
        <v>117</v>
      </c>
      <c r="CD30" s="28"/>
      <c r="CE30" s="25" t="s">
        <v>117</v>
      </c>
      <c r="CF30" s="28"/>
      <c r="CG30" s="25" t="s">
        <v>117</v>
      </c>
      <c r="CH30" s="28"/>
      <c r="CI30" s="25"/>
      <c r="CJ30" s="28"/>
      <c r="CK30" s="29" t="s">
        <v>117</v>
      </c>
      <c r="CL30" s="28"/>
      <c r="CM30" s="29" t="s">
        <v>117</v>
      </c>
      <c r="CN30" s="28"/>
      <c r="CO30" s="25" t="s">
        <v>117</v>
      </c>
      <c r="CP30" s="30">
        <v>400</v>
      </c>
      <c r="CQ30" s="23" t="s">
        <v>115</v>
      </c>
      <c r="CR30" s="30">
        <v>300</v>
      </c>
      <c r="CS30" s="23" t="s">
        <v>115</v>
      </c>
      <c r="CT30" s="30">
        <v>125</v>
      </c>
      <c r="CU30" s="23" t="s">
        <v>115</v>
      </c>
      <c r="CV30" s="32"/>
      <c r="CW30" s="23" t="s">
        <v>117</v>
      </c>
      <c r="CX30" s="32"/>
      <c r="CY30" s="25" t="s">
        <v>117</v>
      </c>
      <c r="CZ30" s="32"/>
      <c r="DA30" s="25" t="s">
        <v>117</v>
      </c>
      <c r="DB30" s="33" t="s">
        <v>339</v>
      </c>
      <c r="DC30" s="25" t="s">
        <v>116</v>
      </c>
      <c r="DD30" s="34">
        <f t="shared" si="5"/>
        <v>933</v>
      </c>
      <c r="DE30" t="s">
        <v>340</v>
      </c>
      <c r="DF30" t="str">
        <f t="shared" si="1"/>
        <v>British Virgin Islands#Trust#British Virgin Islands Vista Trust</v>
      </c>
      <c r="DG30" t="b">
        <f t="shared" si="6"/>
        <v>1</v>
      </c>
    </row>
    <row r="31" spans="1:111" ht="78.75" hidden="1" customHeight="1" x14ac:dyDescent="0.35">
      <c r="A31" s="72" t="s">
        <v>313</v>
      </c>
      <c r="B31" s="18" t="s">
        <v>314</v>
      </c>
      <c r="C31" s="72" t="s">
        <v>122</v>
      </c>
      <c r="D31" s="73" t="s">
        <v>341</v>
      </c>
      <c r="E31" s="72" t="s">
        <v>90</v>
      </c>
      <c r="F31" s="20" t="s">
        <v>124</v>
      </c>
      <c r="G31" s="20" t="s">
        <v>342</v>
      </c>
      <c r="H31" s="20" t="s">
        <v>126</v>
      </c>
      <c r="I31" s="20" t="s">
        <v>127</v>
      </c>
      <c r="J31" s="20" t="s">
        <v>318</v>
      </c>
      <c r="K31" s="20" t="s">
        <v>96</v>
      </c>
      <c r="L31" s="20" t="s">
        <v>97</v>
      </c>
      <c r="M31" s="20" t="s">
        <v>98</v>
      </c>
      <c r="N31" s="20" t="s">
        <v>128</v>
      </c>
      <c r="O31" s="20" t="s">
        <v>129</v>
      </c>
      <c r="P31" s="20" t="s">
        <v>130</v>
      </c>
      <c r="Q31" s="20" t="s">
        <v>131</v>
      </c>
      <c r="R31" s="20" t="s">
        <v>132</v>
      </c>
      <c r="S31" s="20" t="s">
        <v>133</v>
      </c>
      <c r="T31" s="20" t="s">
        <v>134</v>
      </c>
      <c r="U31" s="20" t="s">
        <v>135</v>
      </c>
      <c r="V31" s="21" t="s">
        <v>122</v>
      </c>
      <c r="W31" s="21" t="s">
        <v>108</v>
      </c>
      <c r="X31" s="21" t="s">
        <v>109</v>
      </c>
      <c r="Y31" s="21" t="s">
        <v>343</v>
      </c>
      <c r="Z31" s="21" t="s">
        <v>111</v>
      </c>
      <c r="AA31" s="21"/>
      <c r="AB31" s="21" t="s">
        <v>344</v>
      </c>
      <c r="AC31" s="21" t="s">
        <v>345</v>
      </c>
      <c r="AD31" s="61">
        <v>5530</v>
      </c>
      <c r="AE31" s="23" t="s">
        <v>115</v>
      </c>
      <c r="AF31" s="74"/>
      <c r="AG31" s="23" t="s">
        <v>116</v>
      </c>
      <c r="AH31" s="74"/>
      <c r="AI31" s="25" t="s">
        <v>117</v>
      </c>
      <c r="AJ31" s="74"/>
      <c r="AK31" s="25" t="s">
        <v>117</v>
      </c>
      <c r="AL31" s="22">
        <v>0</v>
      </c>
      <c r="AM31" s="23" t="s">
        <v>115</v>
      </c>
      <c r="AN31" s="74"/>
      <c r="AO31" s="25" t="s">
        <v>117</v>
      </c>
      <c r="AQ31" s="23" t="s">
        <v>117</v>
      </c>
      <c r="AR31" s="61">
        <v>6500</v>
      </c>
      <c r="AS31" s="23" t="s">
        <v>115</v>
      </c>
      <c r="AT31" s="58" t="s">
        <v>118</v>
      </c>
      <c r="AU31" s="23" t="s">
        <v>116</v>
      </c>
      <c r="AV31" s="58" t="s">
        <v>118</v>
      </c>
      <c r="AW31" s="23" t="s">
        <v>115</v>
      </c>
      <c r="AX31" s="58" t="s">
        <v>118</v>
      </c>
      <c r="AY31" s="23" t="s">
        <v>115</v>
      </c>
      <c r="AZ31" s="61">
        <v>185</v>
      </c>
      <c r="BA31" s="23" t="s">
        <v>115</v>
      </c>
      <c r="BB31" s="74"/>
      <c r="BC31" s="23" t="s">
        <v>115</v>
      </c>
      <c r="BD31" s="26">
        <v>1300</v>
      </c>
      <c r="BE31" s="23" t="s">
        <v>115</v>
      </c>
      <c r="BF31" s="58" t="s">
        <v>118</v>
      </c>
      <c r="BG31" s="23" t="s">
        <v>115</v>
      </c>
      <c r="BH31" s="75"/>
      <c r="BI31" s="25" t="s">
        <v>117</v>
      </c>
      <c r="BJ31" s="75"/>
      <c r="BK31" s="25" t="s">
        <v>117</v>
      </c>
      <c r="BL31" s="75"/>
      <c r="BM31" s="25" t="s">
        <v>117</v>
      </c>
      <c r="BN31" s="75"/>
      <c r="BO31" s="25" t="s">
        <v>117</v>
      </c>
      <c r="BP31" s="75"/>
      <c r="BQ31" s="25" t="s">
        <v>117</v>
      </c>
      <c r="BR31" s="75"/>
      <c r="BS31" s="25" t="s">
        <v>117</v>
      </c>
      <c r="BT31" s="75"/>
      <c r="BU31" s="25" t="s">
        <v>117</v>
      </c>
      <c r="BV31" s="75"/>
      <c r="BW31" s="25" t="s">
        <v>117</v>
      </c>
      <c r="BX31" s="75"/>
      <c r="BY31" s="25" t="s">
        <v>117</v>
      </c>
      <c r="BZ31" s="75"/>
      <c r="CA31" s="25" t="s">
        <v>117</v>
      </c>
      <c r="CB31" s="75"/>
      <c r="CC31" s="25" t="s">
        <v>117</v>
      </c>
      <c r="CD31" s="75"/>
      <c r="CE31" s="25" t="s">
        <v>117</v>
      </c>
      <c r="CF31" s="75"/>
      <c r="CG31" s="25" t="s">
        <v>117</v>
      </c>
      <c r="CH31" s="75"/>
      <c r="CI31" s="25"/>
      <c r="CJ31" s="75"/>
      <c r="CK31" s="62" t="s">
        <v>117</v>
      </c>
      <c r="CL31" s="75"/>
      <c r="CM31" s="62" t="s">
        <v>117</v>
      </c>
      <c r="CN31" s="75"/>
      <c r="CO31" s="25" t="s">
        <v>117</v>
      </c>
      <c r="CP31" s="30">
        <v>400</v>
      </c>
      <c r="CQ31" s="23" t="s">
        <v>115</v>
      </c>
      <c r="CR31" s="30">
        <v>300</v>
      </c>
      <c r="CS31" s="23" t="s">
        <v>115</v>
      </c>
      <c r="CT31" s="30">
        <v>125</v>
      </c>
      <c r="CU31" s="23" t="s">
        <v>115</v>
      </c>
      <c r="CV31" s="32"/>
      <c r="CW31" s="23" t="s">
        <v>117</v>
      </c>
      <c r="CX31" s="32"/>
      <c r="CY31" s="25" t="s">
        <v>117</v>
      </c>
      <c r="CZ31" s="32"/>
      <c r="DA31" s="25" t="s">
        <v>117</v>
      </c>
      <c r="DB31" s="33" t="s">
        <v>346</v>
      </c>
      <c r="DC31" s="25" t="s">
        <v>116</v>
      </c>
      <c r="DD31" s="34">
        <f t="shared" si="5"/>
        <v>978</v>
      </c>
      <c r="DE31" t="s">
        <v>347</v>
      </c>
      <c r="DF31" t="str">
        <f t="shared" si="1"/>
        <v>British Virgin Islands#Trust#British Virgin Islands Trust</v>
      </c>
      <c r="DG31" t="b">
        <f t="shared" si="6"/>
        <v>1</v>
      </c>
    </row>
    <row r="32" spans="1:111" ht="78.75" customHeight="1" x14ac:dyDescent="0.35">
      <c r="A32" s="42" t="s">
        <v>313</v>
      </c>
      <c r="B32" s="18" t="s">
        <v>314</v>
      </c>
      <c r="C32" s="42" t="s">
        <v>141</v>
      </c>
      <c r="D32" s="43" t="s">
        <v>348</v>
      </c>
      <c r="E32" s="42" t="s">
        <v>90</v>
      </c>
      <c r="F32" s="20" t="s">
        <v>143</v>
      </c>
      <c r="G32" s="20" t="s">
        <v>349</v>
      </c>
      <c r="H32" s="20" t="s">
        <v>145</v>
      </c>
      <c r="I32" s="20" t="s">
        <v>146</v>
      </c>
      <c r="J32" s="20" t="s">
        <v>318</v>
      </c>
      <c r="K32" s="20" t="s">
        <v>96</v>
      </c>
      <c r="L32" s="20" t="s">
        <v>97</v>
      </c>
      <c r="M32" s="20" t="s">
        <v>98</v>
      </c>
      <c r="N32" s="20" t="s">
        <v>147</v>
      </c>
      <c r="O32" s="20" t="s">
        <v>148</v>
      </c>
      <c r="P32" s="20" t="s">
        <v>149</v>
      </c>
      <c r="Q32" s="20" t="s">
        <v>150</v>
      </c>
      <c r="R32" s="20" t="s">
        <v>151</v>
      </c>
      <c r="S32" s="20" t="s">
        <v>152</v>
      </c>
      <c r="T32" s="20" t="s">
        <v>153</v>
      </c>
      <c r="U32" s="20" t="s">
        <v>154</v>
      </c>
      <c r="V32" s="21" t="s">
        <v>155</v>
      </c>
      <c r="W32" s="21" t="s">
        <v>108</v>
      </c>
      <c r="X32" s="21" t="s">
        <v>109</v>
      </c>
      <c r="Y32" s="21" t="s">
        <v>350</v>
      </c>
      <c r="Z32" s="21" t="s">
        <v>111</v>
      </c>
      <c r="AA32" s="21" t="s">
        <v>112</v>
      </c>
      <c r="AB32" s="21" t="s">
        <v>351</v>
      </c>
      <c r="AC32" s="21" t="s">
        <v>352</v>
      </c>
      <c r="AE32" s="23" t="s">
        <v>115</v>
      </c>
      <c r="AF32" s="44"/>
      <c r="AG32" s="23" t="s">
        <v>116</v>
      </c>
      <c r="AH32" s="44"/>
      <c r="AI32" s="25" t="s">
        <v>117</v>
      </c>
      <c r="AJ32" s="44"/>
      <c r="AK32" s="25" t="s">
        <v>117</v>
      </c>
      <c r="AL32" s="22">
        <v>0</v>
      </c>
      <c r="AM32" s="23" t="s">
        <v>115</v>
      </c>
      <c r="AN32" s="44"/>
      <c r="AO32" s="25" t="s">
        <v>117</v>
      </c>
      <c r="AP32" s="45" t="s">
        <v>118</v>
      </c>
      <c r="AQ32" s="23" t="s">
        <v>115</v>
      </c>
      <c r="AR32" s="46"/>
      <c r="AS32" s="23" t="s">
        <v>117</v>
      </c>
      <c r="AT32" s="45" t="s">
        <v>118</v>
      </c>
      <c r="AU32" s="23" t="s">
        <v>116</v>
      </c>
      <c r="AV32" s="45" t="s">
        <v>118</v>
      </c>
      <c r="AW32" s="23" t="s">
        <v>115</v>
      </c>
      <c r="AX32" s="45" t="s">
        <v>118</v>
      </c>
      <c r="AY32" s="23" t="s">
        <v>115</v>
      </c>
      <c r="AZ32" s="45" t="s">
        <v>118</v>
      </c>
      <c r="BA32" s="23" t="s">
        <v>115</v>
      </c>
      <c r="BB32" s="46"/>
      <c r="BC32" s="23" t="s">
        <v>115</v>
      </c>
      <c r="BD32" s="45" t="s">
        <v>118</v>
      </c>
      <c r="BE32" s="23" t="s">
        <v>115</v>
      </c>
      <c r="BF32" s="45" t="s">
        <v>118</v>
      </c>
      <c r="BG32" s="23" t="s">
        <v>115</v>
      </c>
      <c r="BH32" s="46"/>
      <c r="BI32" s="25" t="s">
        <v>117</v>
      </c>
      <c r="BJ32" s="46"/>
      <c r="BK32" s="25" t="s">
        <v>117</v>
      </c>
      <c r="BL32" s="46"/>
      <c r="BM32" s="25" t="s">
        <v>117</v>
      </c>
      <c r="BN32" s="46"/>
      <c r="BO32" s="25" t="s">
        <v>117</v>
      </c>
      <c r="BP32" s="46"/>
      <c r="BQ32" s="25" t="s">
        <v>117</v>
      </c>
      <c r="BR32" s="47">
        <v>12000</v>
      </c>
      <c r="BS32" s="25" t="s">
        <v>115</v>
      </c>
      <c r="BT32" s="46"/>
      <c r="BU32" s="25" t="s">
        <v>117</v>
      </c>
      <c r="BV32" s="46"/>
      <c r="BW32" s="25" t="s">
        <v>117</v>
      </c>
      <c r="BX32" s="46"/>
      <c r="BY32" s="25" t="s">
        <v>117</v>
      </c>
      <c r="BZ32" s="46"/>
      <c r="CA32" s="25" t="s">
        <v>117</v>
      </c>
      <c r="CB32" s="45" t="s">
        <v>159</v>
      </c>
      <c r="CC32" s="25" t="s">
        <v>116</v>
      </c>
      <c r="CD32" s="46"/>
      <c r="CE32" s="25" t="s">
        <v>117</v>
      </c>
      <c r="CF32" s="46"/>
      <c r="CG32" s="25" t="s">
        <v>117</v>
      </c>
      <c r="CH32" s="151">
        <v>5000</v>
      </c>
      <c r="CI32" s="25" t="s">
        <v>116</v>
      </c>
      <c r="CJ32" s="151">
        <v>2500</v>
      </c>
      <c r="CK32" s="48" t="s">
        <v>116</v>
      </c>
      <c r="CL32" s="46">
        <v>1500</v>
      </c>
      <c r="CM32" s="48" t="s">
        <v>116</v>
      </c>
      <c r="CN32" s="46">
        <v>1500</v>
      </c>
      <c r="CO32" s="25" t="s">
        <v>116</v>
      </c>
      <c r="CP32" s="30">
        <v>400</v>
      </c>
      <c r="CQ32" s="23" t="s">
        <v>115</v>
      </c>
      <c r="CR32" s="30">
        <v>300</v>
      </c>
      <c r="CS32" s="23" t="s">
        <v>115</v>
      </c>
      <c r="CT32" s="30">
        <v>125</v>
      </c>
      <c r="CU32" s="23" t="s">
        <v>115</v>
      </c>
      <c r="CV32" s="32"/>
      <c r="CW32" s="23" t="s">
        <v>117</v>
      </c>
      <c r="CX32" s="32"/>
      <c r="CY32" s="25" t="s">
        <v>117</v>
      </c>
      <c r="CZ32" s="32"/>
      <c r="DA32" s="25" t="s">
        <v>117</v>
      </c>
      <c r="DB32" s="33" t="s">
        <v>120</v>
      </c>
      <c r="DC32" s="25" t="s">
        <v>116</v>
      </c>
      <c r="DD32" s="34">
        <f t="shared" si="5"/>
        <v>1374</v>
      </c>
      <c r="DE32" t="s">
        <v>353</v>
      </c>
      <c r="DF32" t="str">
        <f t="shared" si="1"/>
        <v>British Virgin Islands#Fund#British Virgin Islands Ltd</v>
      </c>
      <c r="DG32" t="b">
        <f t="shared" si="6"/>
        <v>1</v>
      </c>
    </row>
    <row r="33" spans="1:111" ht="78.75" customHeight="1" x14ac:dyDescent="0.35">
      <c r="A33" s="35" t="s">
        <v>313</v>
      </c>
      <c r="B33" s="18" t="s">
        <v>314</v>
      </c>
      <c r="C33" s="35" t="s">
        <v>141</v>
      </c>
      <c r="D33" s="36" t="s">
        <v>354</v>
      </c>
      <c r="E33" s="35" t="s">
        <v>90</v>
      </c>
      <c r="F33" s="20" t="s">
        <v>355</v>
      </c>
      <c r="G33" s="20" t="s">
        <v>356</v>
      </c>
      <c r="H33" s="20" t="s">
        <v>145</v>
      </c>
      <c r="I33" s="20" t="s">
        <v>146</v>
      </c>
      <c r="J33" s="20" t="s">
        <v>318</v>
      </c>
      <c r="K33" s="20" t="s">
        <v>96</v>
      </c>
      <c r="L33" s="20" t="s">
        <v>97</v>
      </c>
      <c r="M33" s="20" t="s">
        <v>98</v>
      </c>
      <c r="N33" s="20" t="s">
        <v>147</v>
      </c>
      <c r="O33" s="20" t="s">
        <v>148</v>
      </c>
      <c r="P33" s="20" t="s">
        <v>149</v>
      </c>
      <c r="Q33" s="20" t="s">
        <v>150</v>
      </c>
      <c r="R33" s="20" t="s">
        <v>151</v>
      </c>
      <c r="S33" s="20" t="s">
        <v>152</v>
      </c>
      <c r="T33" s="20" t="s">
        <v>153</v>
      </c>
      <c r="U33" s="20" t="s">
        <v>154</v>
      </c>
      <c r="V33" s="21" t="s">
        <v>155</v>
      </c>
      <c r="W33" s="21" t="s">
        <v>108</v>
      </c>
      <c r="X33" s="21" t="s">
        <v>164</v>
      </c>
      <c r="Y33" s="21" t="s">
        <v>357</v>
      </c>
      <c r="Z33" s="21" t="s">
        <v>111</v>
      </c>
      <c r="AA33" s="21" t="s">
        <v>166</v>
      </c>
      <c r="AB33" s="21" t="s">
        <v>358</v>
      </c>
      <c r="AC33" s="21" t="s">
        <v>359</v>
      </c>
      <c r="AE33" s="23" t="s">
        <v>115</v>
      </c>
      <c r="AF33" s="38"/>
      <c r="AG33" s="23" t="s">
        <v>116</v>
      </c>
      <c r="AH33" s="38"/>
      <c r="AI33" s="25" t="s">
        <v>117</v>
      </c>
      <c r="AJ33" s="38"/>
      <c r="AK33" s="25" t="s">
        <v>117</v>
      </c>
      <c r="AL33" s="22">
        <v>0</v>
      </c>
      <c r="AM33" s="23" t="s">
        <v>115</v>
      </c>
      <c r="AN33" s="38"/>
      <c r="AO33" s="25" t="s">
        <v>117</v>
      </c>
      <c r="AP33" s="39" t="s">
        <v>118</v>
      </c>
      <c r="AQ33" s="23" t="s">
        <v>115</v>
      </c>
      <c r="AR33" s="40"/>
      <c r="AS33" s="23" t="s">
        <v>117</v>
      </c>
      <c r="AT33" s="39" t="s">
        <v>118</v>
      </c>
      <c r="AU33" s="23" t="s">
        <v>116</v>
      </c>
      <c r="AV33" s="39" t="s">
        <v>118</v>
      </c>
      <c r="AW33" s="23" t="s">
        <v>115</v>
      </c>
      <c r="AX33" s="39" t="s">
        <v>118</v>
      </c>
      <c r="AY33" s="23" t="s">
        <v>115</v>
      </c>
      <c r="AZ33" s="39" t="s">
        <v>118</v>
      </c>
      <c r="BA33" s="23" t="s">
        <v>115</v>
      </c>
      <c r="BB33" s="40"/>
      <c r="BC33" s="23" t="s">
        <v>115</v>
      </c>
      <c r="BD33" s="39" t="s">
        <v>118</v>
      </c>
      <c r="BE33" s="23" t="s">
        <v>115</v>
      </c>
      <c r="BF33" s="39" t="s">
        <v>118</v>
      </c>
      <c r="BG33" s="23" t="s">
        <v>115</v>
      </c>
      <c r="BH33" s="40"/>
      <c r="BI33" s="25" t="s">
        <v>117</v>
      </c>
      <c r="BJ33" s="40"/>
      <c r="BK33" s="25" t="s">
        <v>117</v>
      </c>
      <c r="BL33" s="40"/>
      <c r="BM33" s="25" t="s">
        <v>117</v>
      </c>
      <c r="BN33" s="40"/>
      <c r="BO33" s="25" t="s">
        <v>117</v>
      </c>
      <c r="BP33" s="40"/>
      <c r="BQ33" s="25" t="s">
        <v>117</v>
      </c>
      <c r="BR33" s="37">
        <v>12000</v>
      </c>
      <c r="BS33" s="25" t="s">
        <v>115</v>
      </c>
      <c r="BT33" s="40"/>
      <c r="BU33" s="25" t="s">
        <v>117</v>
      </c>
      <c r="BV33" s="40"/>
      <c r="BW33" s="25" t="s">
        <v>117</v>
      </c>
      <c r="BX33" s="40"/>
      <c r="BY33" s="25" t="s">
        <v>117</v>
      </c>
      <c r="BZ33" s="46"/>
      <c r="CA33" s="25" t="s">
        <v>117</v>
      </c>
      <c r="CB33" s="45" t="s">
        <v>159</v>
      </c>
      <c r="CC33" s="25" t="s">
        <v>116</v>
      </c>
      <c r="CD33" s="40"/>
      <c r="CE33" s="25" t="s">
        <v>117</v>
      </c>
      <c r="CF33" s="40"/>
      <c r="CG33" s="25" t="s">
        <v>117</v>
      </c>
      <c r="CH33" s="151">
        <v>5000</v>
      </c>
      <c r="CI33" s="25" t="s">
        <v>116</v>
      </c>
      <c r="CJ33" s="151">
        <v>2500</v>
      </c>
      <c r="CK33" s="48" t="s">
        <v>116</v>
      </c>
      <c r="CL33" s="46">
        <v>1500</v>
      </c>
      <c r="CM33" s="48" t="s">
        <v>116</v>
      </c>
      <c r="CN33" s="46">
        <v>1500</v>
      </c>
      <c r="CO33" s="25" t="s">
        <v>116</v>
      </c>
      <c r="CP33" s="30">
        <v>400</v>
      </c>
      <c r="CQ33" s="23" t="s">
        <v>115</v>
      </c>
      <c r="CR33" s="30">
        <v>300</v>
      </c>
      <c r="CS33" s="23" t="s">
        <v>115</v>
      </c>
      <c r="CT33" s="30">
        <v>125</v>
      </c>
      <c r="CU33" s="23" t="s">
        <v>115</v>
      </c>
      <c r="CV33" s="32"/>
      <c r="CW33" s="23" t="s">
        <v>117</v>
      </c>
      <c r="CX33" s="32"/>
      <c r="CY33" s="25" t="s">
        <v>117</v>
      </c>
      <c r="CZ33" s="32"/>
      <c r="DA33" s="25" t="s">
        <v>117</v>
      </c>
      <c r="DB33" s="33" t="s">
        <v>120</v>
      </c>
      <c r="DC33" s="25" t="s">
        <v>116</v>
      </c>
      <c r="DD33" s="34">
        <f t="shared" si="5"/>
        <v>1374</v>
      </c>
      <c r="DE33" t="s">
        <v>360</v>
      </c>
      <c r="DF33" t="str">
        <f t="shared" si="1"/>
        <v>British Virgin Islands#Fund#British Virgin Islands LP</v>
      </c>
      <c r="DG33" t="b">
        <f t="shared" si="6"/>
        <v>1</v>
      </c>
    </row>
    <row r="34" spans="1:111" ht="90" customHeight="1" x14ac:dyDescent="0.35">
      <c r="A34" s="42" t="s">
        <v>313</v>
      </c>
      <c r="B34" s="18" t="s">
        <v>314</v>
      </c>
      <c r="C34" s="42" t="s">
        <v>141</v>
      </c>
      <c r="D34" s="43" t="s">
        <v>325</v>
      </c>
      <c r="E34" s="42" t="s">
        <v>90</v>
      </c>
      <c r="F34" s="20" t="s">
        <v>326</v>
      </c>
      <c r="G34" s="20" t="s">
        <v>361</v>
      </c>
      <c r="H34" s="20" t="s">
        <v>145</v>
      </c>
      <c r="I34" s="20" t="s">
        <v>146</v>
      </c>
      <c r="J34" s="20" t="s">
        <v>318</v>
      </c>
      <c r="K34" s="20" t="s">
        <v>96</v>
      </c>
      <c r="L34" s="20" t="s">
        <v>97</v>
      </c>
      <c r="M34" s="20" t="s">
        <v>98</v>
      </c>
      <c r="N34" s="20" t="s">
        <v>147</v>
      </c>
      <c r="O34" s="20" t="s">
        <v>148</v>
      </c>
      <c r="P34" s="20" t="s">
        <v>149</v>
      </c>
      <c r="Q34" s="20" t="s">
        <v>150</v>
      </c>
      <c r="R34" s="20" t="s">
        <v>151</v>
      </c>
      <c r="S34" s="20" t="s">
        <v>152</v>
      </c>
      <c r="T34" s="20" t="s">
        <v>153</v>
      </c>
      <c r="U34" s="20" t="s">
        <v>154</v>
      </c>
      <c r="V34" s="21" t="s">
        <v>180</v>
      </c>
      <c r="W34" s="21" t="s">
        <v>108</v>
      </c>
      <c r="X34" s="21" t="s">
        <v>181</v>
      </c>
      <c r="Y34" s="21" t="s">
        <v>362</v>
      </c>
      <c r="Z34" s="21" t="s">
        <v>111</v>
      </c>
      <c r="AA34" s="21" t="s">
        <v>112</v>
      </c>
      <c r="AB34" s="21" t="s">
        <v>363</v>
      </c>
      <c r="AC34" s="21" t="s">
        <v>364</v>
      </c>
      <c r="AE34" s="23" t="s">
        <v>115</v>
      </c>
      <c r="AF34" s="44"/>
      <c r="AG34" s="23" t="s">
        <v>116</v>
      </c>
      <c r="AH34" s="44"/>
      <c r="AI34" s="25" t="s">
        <v>117</v>
      </c>
      <c r="AJ34" s="44"/>
      <c r="AK34" s="25" t="s">
        <v>117</v>
      </c>
      <c r="AL34" s="22">
        <v>0</v>
      </c>
      <c r="AM34" s="23" t="s">
        <v>115</v>
      </c>
      <c r="AN34" s="44"/>
      <c r="AO34" s="25" t="s">
        <v>117</v>
      </c>
      <c r="AP34" s="45" t="s">
        <v>118</v>
      </c>
      <c r="AQ34" s="23" t="s">
        <v>115</v>
      </c>
      <c r="AR34" s="46"/>
      <c r="AS34" s="23" t="s">
        <v>117</v>
      </c>
      <c r="AT34" s="45" t="s">
        <v>118</v>
      </c>
      <c r="AU34" s="23" t="s">
        <v>116</v>
      </c>
      <c r="AV34" s="45" t="s">
        <v>118</v>
      </c>
      <c r="AW34" s="23" t="s">
        <v>115</v>
      </c>
      <c r="AX34" s="45" t="s">
        <v>118</v>
      </c>
      <c r="AY34" s="23" t="s">
        <v>115</v>
      </c>
      <c r="AZ34" s="45" t="s">
        <v>118</v>
      </c>
      <c r="BA34" s="23" t="s">
        <v>115</v>
      </c>
      <c r="BB34" s="46"/>
      <c r="BC34" s="23" t="s">
        <v>115</v>
      </c>
      <c r="BD34" s="45" t="s">
        <v>118</v>
      </c>
      <c r="BE34" s="23" t="s">
        <v>115</v>
      </c>
      <c r="BF34" s="45" t="s">
        <v>118</v>
      </c>
      <c r="BG34" s="23" t="s">
        <v>115</v>
      </c>
      <c r="BH34" s="46"/>
      <c r="BI34" s="25" t="s">
        <v>117</v>
      </c>
      <c r="BJ34" s="46"/>
      <c r="BK34" s="25" t="s">
        <v>117</v>
      </c>
      <c r="BL34" s="46"/>
      <c r="BM34" s="25" t="s">
        <v>117</v>
      </c>
      <c r="BN34" s="46"/>
      <c r="BO34" s="25" t="s">
        <v>117</v>
      </c>
      <c r="BP34" s="46"/>
      <c r="BQ34" s="25" t="s">
        <v>117</v>
      </c>
      <c r="BR34" s="47">
        <v>12000</v>
      </c>
      <c r="BS34" s="25" t="s">
        <v>115</v>
      </c>
      <c r="BT34" s="46"/>
      <c r="BU34" s="25" t="s">
        <v>117</v>
      </c>
      <c r="BV34" s="46"/>
      <c r="BW34" s="25" t="s">
        <v>117</v>
      </c>
      <c r="BX34" s="46"/>
      <c r="BY34" s="25" t="s">
        <v>117</v>
      </c>
      <c r="BZ34" s="46"/>
      <c r="CA34" s="25" t="s">
        <v>117</v>
      </c>
      <c r="CB34" s="45" t="s">
        <v>159</v>
      </c>
      <c r="CC34" s="25" t="s">
        <v>116</v>
      </c>
      <c r="CD34" s="46"/>
      <c r="CE34" s="25" t="s">
        <v>117</v>
      </c>
      <c r="CF34" s="46"/>
      <c r="CG34" s="25" t="s">
        <v>117</v>
      </c>
      <c r="CH34" s="151">
        <v>5000</v>
      </c>
      <c r="CI34" s="25" t="s">
        <v>116</v>
      </c>
      <c r="CJ34" s="151">
        <v>2500</v>
      </c>
      <c r="CK34" s="48" t="s">
        <v>116</v>
      </c>
      <c r="CL34" s="46">
        <v>1500</v>
      </c>
      <c r="CM34" s="48" t="s">
        <v>116</v>
      </c>
      <c r="CN34" s="46">
        <v>1500</v>
      </c>
      <c r="CO34" s="25" t="s">
        <v>116</v>
      </c>
      <c r="CP34" s="30">
        <v>400</v>
      </c>
      <c r="CQ34" s="23" t="s">
        <v>115</v>
      </c>
      <c r="CR34" s="30">
        <v>300</v>
      </c>
      <c r="CS34" s="23" t="s">
        <v>115</v>
      </c>
      <c r="CT34" s="30">
        <v>125</v>
      </c>
      <c r="CU34" s="23" t="s">
        <v>115</v>
      </c>
      <c r="CV34" s="32"/>
      <c r="CW34" s="23" t="s">
        <v>117</v>
      </c>
      <c r="CX34" s="32"/>
      <c r="CY34" s="25" t="s">
        <v>117</v>
      </c>
      <c r="CZ34" s="32"/>
      <c r="DA34" s="25" t="s">
        <v>117</v>
      </c>
      <c r="DB34" s="33" t="s">
        <v>120</v>
      </c>
      <c r="DC34" s="25" t="s">
        <v>116</v>
      </c>
      <c r="DD34" s="34">
        <f t="shared" si="5"/>
        <v>1374</v>
      </c>
      <c r="DE34" t="s">
        <v>365</v>
      </c>
      <c r="DF34" t="str">
        <f t="shared" si="1"/>
        <v>British Virgin Islands#Fund#British Virgin Islands SPC</v>
      </c>
      <c r="DG34" t="b">
        <f t="shared" si="6"/>
        <v>1</v>
      </c>
    </row>
    <row r="35" spans="1:111" ht="78.75" customHeight="1" x14ac:dyDescent="0.35">
      <c r="A35" s="35" t="s">
        <v>313</v>
      </c>
      <c r="B35" s="18" t="s">
        <v>314</v>
      </c>
      <c r="C35" s="35" t="s">
        <v>141</v>
      </c>
      <c r="D35" s="36" t="s">
        <v>366</v>
      </c>
      <c r="E35" s="35" t="s">
        <v>90</v>
      </c>
      <c r="F35" s="20" t="s">
        <v>171</v>
      </c>
      <c r="G35" s="20" t="s">
        <v>367</v>
      </c>
      <c r="H35" s="20" t="s">
        <v>145</v>
      </c>
      <c r="I35" s="20" t="s">
        <v>146</v>
      </c>
      <c r="J35" s="20" t="s">
        <v>318</v>
      </c>
      <c r="K35" s="20" t="s">
        <v>96</v>
      </c>
      <c r="L35" s="20" t="s">
        <v>97</v>
      </c>
      <c r="M35" s="20" t="s">
        <v>98</v>
      </c>
      <c r="N35" s="20" t="s">
        <v>147</v>
      </c>
      <c r="O35" s="20" t="s">
        <v>148</v>
      </c>
      <c r="P35" s="20" t="s">
        <v>149</v>
      </c>
      <c r="Q35" s="20" t="s">
        <v>150</v>
      </c>
      <c r="R35" s="20" t="s">
        <v>151</v>
      </c>
      <c r="S35" s="20" t="s">
        <v>152</v>
      </c>
      <c r="T35" s="20" t="s">
        <v>153</v>
      </c>
      <c r="U35" s="20" t="s">
        <v>154</v>
      </c>
      <c r="V35" s="21" t="s">
        <v>155</v>
      </c>
      <c r="W35" s="21" t="s">
        <v>108</v>
      </c>
      <c r="X35" s="21" t="s">
        <v>109</v>
      </c>
      <c r="Y35" s="21" t="s">
        <v>368</v>
      </c>
      <c r="Z35" s="21" t="s">
        <v>111</v>
      </c>
      <c r="AA35" s="21" t="s">
        <v>173</v>
      </c>
      <c r="AB35" s="21" t="s">
        <v>369</v>
      </c>
      <c r="AC35" s="21" t="s">
        <v>370</v>
      </c>
      <c r="AE35" s="23" t="s">
        <v>115</v>
      </c>
      <c r="AF35" s="38"/>
      <c r="AG35" s="23" t="s">
        <v>116</v>
      </c>
      <c r="AH35" s="38"/>
      <c r="AI35" s="25" t="s">
        <v>117</v>
      </c>
      <c r="AJ35" s="38"/>
      <c r="AK35" s="25" t="s">
        <v>117</v>
      </c>
      <c r="AL35" s="22">
        <v>0</v>
      </c>
      <c r="AM35" s="23" t="s">
        <v>115</v>
      </c>
      <c r="AN35" s="38"/>
      <c r="AO35" s="25" t="s">
        <v>117</v>
      </c>
      <c r="AP35" s="39" t="s">
        <v>118</v>
      </c>
      <c r="AQ35" s="23" t="s">
        <v>115</v>
      </c>
      <c r="AR35" s="40"/>
      <c r="AS35" s="23" t="s">
        <v>117</v>
      </c>
      <c r="AT35" s="39" t="s">
        <v>118</v>
      </c>
      <c r="AU35" s="23" t="s">
        <v>116</v>
      </c>
      <c r="AV35" s="39" t="s">
        <v>118</v>
      </c>
      <c r="AW35" s="23" t="s">
        <v>115</v>
      </c>
      <c r="AX35" s="39" t="s">
        <v>118</v>
      </c>
      <c r="AY35" s="23" t="s">
        <v>115</v>
      </c>
      <c r="AZ35" s="39" t="s">
        <v>118</v>
      </c>
      <c r="BA35" s="23" t="s">
        <v>115</v>
      </c>
      <c r="BB35" s="40"/>
      <c r="BC35" s="23" t="s">
        <v>115</v>
      </c>
      <c r="BD35" s="39" t="s">
        <v>118</v>
      </c>
      <c r="BE35" s="23" t="s">
        <v>115</v>
      </c>
      <c r="BF35" s="39" t="s">
        <v>118</v>
      </c>
      <c r="BG35" s="23" t="s">
        <v>115</v>
      </c>
      <c r="BH35" s="40"/>
      <c r="BI35" s="25" t="s">
        <v>117</v>
      </c>
      <c r="BJ35" s="40"/>
      <c r="BK35" s="25" t="s">
        <v>117</v>
      </c>
      <c r="BL35" s="40"/>
      <c r="BM35" s="25" t="s">
        <v>117</v>
      </c>
      <c r="BN35" s="40"/>
      <c r="BO35" s="25" t="s">
        <v>117</v>
      </c>
      <c r="BP35" s="40"/>
      <c r="BQ35" s="25" t="s">
        <v>117</v>
      </c>
      <c r="BR35" s="37">
        <v>12000</v>
      </c>
      <c r="BS35" s="25" t="s">
        <v>115</v>
      </c>
      <c r="BT35" s="40"/>
      <c r="BU35" s="25" t="s">
        <v>117</v>
      </c>
      <c r="BV35" s="40"/>
      <c r="BW35" s="25" t="s">
        <v>117</v>
      </c>
      <c r="BX35" s="40"/>
      <c r="BY35" s="25" t="s">
        <v>117</v>
      </c>
      <c r="BZ35" s="46"/>
      <c r="CA35" s="25" t="s">
        <v>117</v>
      </c>
      <c r="CB35" s="45" t="s">
        <v>159</v>
      </c>
      <c r="CC35" s="25" t="s">
        <v>116</v>
      </c>
      <c r="CD35" s="40"/>
      <c r="CE35" s="25" t="s">
        <v>117</v>
      </c>
      <c r="CF35" s="40"/>
      <c r="CG35" s="25" t="s">
        <v>117</v>
      </c>
      <c r="CH35" s="151">
        <v>5000</v>
      </c>
      <c r="CI35" s="25" t="s">
        <v>116</v>
      </c>
      <c r="CJ35" s="151">
        <v>2500</v>
      </c>
      <c r="CK35" s="48" t="s">
        <v>116</v>
      </c>
      <c r="CL35" s="46">
        <v>1500</v>
      </c>
      <c r="CM35" s="48" t="s">
        <v>116</v>
      </c>
      <c r="CN35" s="46">
        <v>1500</v>
      </c>
      <c r="CO35" s="25" t="s">
        <v>116</v>
      </c>
      <c r="CP35" s="30">
        <v>400</v>
      </c>
      <c r="CQ35" s="23" t="s">
        <v>115</v>
      </c>
      <c r="CR35" s="30">
        <v>300</v>
      </c>
      <c r="CS35" s="23" t="s">
        <v>115</v>
      </c>
      <c r="CT35" s="30">
        <v>125</v>
      </c>
      <c r="CU35" s="23" t="s">
        <v>115</v>
      </c>
      <c r="CV35" s="32"/>
      <c r="CW35" s="23" t="s">
        <v>117</v>
      </c>
      <c r="CX35" s="32"/>
      <c r="CY35" s="25" t="s">
        <v>117</v>
      </c>
      <c r="CZ35" s="32"/>
      <c r="DA35" s="25" t="s">
        <v>117</v>
      </c>
      <c r="DB35" s="33" t="s">
        <v>120</v>
      </c>
      <c r="DC35" s="25" t="s">
        <v>116</v>
      </c>
      <c r="DD35" s="34">
        <f t="shared" si="5"/>
        <v>1374</v>
      </c>
      <c r="DE35" t="s">
        <v>371</v>
      </c>
      <c r="DF35" t="str">
        <f t="shared" si="1"/>
        <v>British Virgin Islands#Fund#British Virgin Islands Unit Trust</v>
      </c>
      <c r="DG35" t="b">
        <f t="shared" si="6"/>
        <v>1</v>
      </c>
    </row>
    <row r="36" spans="1:111" ht="78.75" customHeight="1" x14ac:dyDescent="0.35">
      <c r="A36" s="42" t="s">
        <v>313</v>
      </c>
      <c r="B36" s="18" t="s">
        <v>314</v>
      </c>
      <c r="C36" s="42" t="s">
        <v>141</v>
      </c>
      <c r="D36" s="43" t="s">
        <v>372</v>
      </c>
      <c r="E36" s="42" t="s">
        <v>90</v>
      </c>
      <c r="F36" s="20" t="s">
        <v>373</v>
      </c>
      <c r="G36" s="20" t="s">
        <v>374</v>
      </c>
      <c r="H36" s="20" t="s">
        <v>145</v>
      </c>
      <c r="I36" s="20" t="s">
        <v>146</v>
      </c>
      <c r="J36" s="20" t="s">
        <v>318</v>
      </c>
      <c r="K36" s="20" t="s">
        <v>96</v>
      </c>
      <c r="L36" s="20" t="s">
        <v>97</v>
      </c>
      <c r="M36" s="20" t="s">
        <v>98</v>
      </c>
      <c r="N36" s="20" t="s">
        <v>147</v>
      </c>
      <c r="O36" s="20" t="s">
        <v>148</v>
      </c>
      <c r="P36" s="20" t="s">
        <v>149</v>
      </c>
      <c r="Q36" s="20" t="s">
        <v>150</v>
      </c>
      <c r="R36" s="20" t="s">
        <v>151</v>
      </c>
      <c r="S36" s="20" t="s">
        <v>152</v>
      </c>
      <c r="T36" s="20" t="s">
        <v>153</v>
      </c>
      <c r="U36" s="20" t="s">
        <v>154</v>
      </c>
      <c r="V36" s="21" t="s">
        <v>155</v>
      </c>
      <c r="W36" s="21" t="s">
        <v>108</v>
      </c>
      <c r="X36" s="21" t="s">
        <v>375</v>
      </c>
      <c r="Y36" s="21" t="s">
        <v>376</v>
      </c>
      <c r="Z36" s="21" t="s">
        <v>111</v>
      </c>
      <c r="AA36" s="21" t="s">
        <v>191</v>
      </c>
      <c r="AB36" s="21" t="s">
        <v>377</v>
      </c>
      <c r="AC36" s="21" t="s">
        <v>378</v>
      </c>
      <c r="AE36" s="23" t="s">
        <v>115</v>
      </c>
      <c r="AF36" s="44"/>
      <c r="AG36" s="23" t="s">
        <v>116</v>
      </c>
      <c r="AH36" s="44"/>
      <c r="AI36" s="25" t="s">
        <v>117</v>
      </c>
      <c r="AJ36" s="44"/>
      <c r="AK36" s="25" t="s">
        <v>117</v>
      </c>
      <c r="AL36" s="22">
        <v>0</v>
      </c>
      <c r="AM36" s="23" t="s">
        <v>115</v>
      </c>
      <c r="AN36" s="44"/>
      <c r="AO36" s="25" t="s">
        <v>117</v>
      </c>
      <c r="AP36" s="45" t="s">
        <v>118</v>
      </c>
      <c r="AQ36" s="23" t="s">
        <v>115</v>
      </c>
      <c r="AR36" s="46"/>
      <c r="AS36" s="23" t="s">
        <v>117</v>
      </c>
      <c r="AT36" s="45" t="s">
        <v>118</v>
      </c>
      <c r="AU36" s="23" t="s">
        <v>116</v>
      </c>
      <c r="AV36" s="45" t="s">
        <v>118</v>
      </c>
      <c r="AW36" s="23" t="s">
        <v>115</v>
      </c>
      <c r="AX36" s="45" t="s">
        <v>118</v>
      </c>
      <c r="AY36" s="23" t="s">
        <v>115</v>
      </c>
      <c r="AZ36" s="45" t="s">
        <v>118</v>
      </c>
      <c r="BA36" s="23" t="s">
        <v>115</v>
      </c>
      <c r="BB36" s="46"/>
      <c r="BC36" s="23" t="s">
        <v>115</v>
      </c>
      <c r="BD36" s="45" t="s">
        <v>118</v>
      </c>
      <c r="BE36" s="23" t="s">
        <v>115</v>
      </c>
      <c r="BF36" s="45" t="s">
        <v>118</v>
      </c>
      <c r="BG36" s="23" t="s">
        <v>115</v>
      </c>
      <c r="BH36" s="46"/>
      <c r="BI36" s="25" t="s">
        <v>117</v>
      </c>
      <c r="BJ36" s="46"/>
      <c r="BK36" s="25" t="s">
        <v>117</v>
      </c>
      <c r="BL36" s="46"/>
      <c r="BM36" s="25" t="s">
        <v>117</v>
      </c>
      <c r="BN36" s="46"/>
      <c r="BO36" s="25" t="s">
        <v>117</v>
      </c>
      <c r="BP36" s="46"/>
      <c r="BQ36" s="25" t="s">
        <v>117</v>
      </c>
      <c r="BR36" s="47">
        <v>12000</v>
      </c>
      <c r="BS36" s="25" t="s">
        <v>115</v>
      </c>
      <c r="BT36" s="46"/>
      <c r="BU36" s="25" t="s">
        <v>117</v>
      </c>
      <c r="BV36" s="46"/>
      <c r="BW36" s="25" t="s">
        <v>117</v>
      </c>
      <c r="BX36" s="46"/>
      <c r="BY36" s="25" t="s">
        <v>117</v>
      </c>
      <c r="BZ36" s="46"/>
      <c r="CA36" s="25" t="s">
        <v>117</v>
      </c>
      <c r="CB36" s="45" t="s">
        <v>159</v>
      </c>
      <c r="CC36" s="25" t="s">
        <v>116</v>
      </c>
      <c r="CD36" s="46"/>
      <c r="CE36" s="25" t="s">
        <v>117</v>
      </c>
      <c r="CF36" s="46"/>
      <c r="CG36" s="25" t="s">
        <v>117</v>
      </c>
      <c r="CH36" s="151">
        <v>5000</v>
      </c>
      <c r="CI36" s="25" t="s">
        <v>116</v>
      </c>
      <c r="CJ36" s="151">
        <v>2500</v>
      </c>
      <c r="CK36" s="48" t="s">
        <v>116</v>
      </c>
      <c r="CL36" s="46">
        <v>1500</v>
      </c>
      <c r="CM36" s="48" t="s">
        <v>116</v>
      </c>
      <c r="CN36" s="46">
        <v>1500</v>
      </c>
      <c r="CO36" s="25" t="s">
        <v>116</v>
      </c>
      <c r="CP36" s="30">
        <v>400</v>
      </c>
      <c r="CQ36" s="23" t="s">
        <v>115</v>
      </c>
      <c r="CR36" s="30">
        <v>300</v>
      </c>
      <c r="CS36" s="23" t="s">
        <v>115</v>
      </c>
      <c r="CT36" s="30">
        <v>125</v>
      </c>
      <c r="CU36" s="23" t="s">
        <v>115</v>
      </c>
      <c r="CV36" s="32"/>
      <c r="CW36" s="23" t="s">
        <v>117</v>
      </c>
      <c r="CX36" s="32"/>
      <c r="CY36" s="25" t="s">
        <v>117</v>
      </c>
      <c r="CZ36" s="32"/>
      <c r="DA36" s="25" t="s">
        <v>117</v>
      </c>
      <c r="DB36" s="33" t="s">
        <v>120</v>
      </c>
      <c r="DC36" s="25" t="s">
        <v>116</v>
      </c>
      <c r="DD36" s="34">
        <f t="shared" si="5"/>
        <v>1374</v>
      </c>
      <c r="DE36" t="s">
        <v>379</v>
      </c>
      <c r="DF36" t="str">
        <f t="shared" si="1"/>
        <v>British Virgin Islands#Fund#British Virgin Islands LLP</v>
      </c>
      <c r="DG36" t="b">
        <f t="shared" si="6"/>
        <v>1</v>
      </c>
    </row>
    <row r="37" spans="1:111" ht="15" hidden="1" customHeight="1" x14ac:dyDescent="0.35">
      <c r="A37" s="184" t="s">
        <v>380</v>
      </c>
      <c r="B37" s="184"/>
      <c r="C37" s="184"/>
      <c r="D37" s="184"/>
      <c r="E37" s="184"/>
      <c r="F37" s="184"/>
      <c r="G37" s="184"/>
      <c r="H37" s="184"/>
      <c r="I37" s="184"/>
      <c r="J37" s="184"/>
      <c r="K37" s="184"/>
      <c r="L37" s="184"/>
      <c r="M37" s="184"/>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4"/>
      <c r="BN37" s="184"/>
      <c r="BO37" s="184"/>
      <c r="BP37" s="184"/>
      <c r="BQ37" s="184"/>
      <c r="BR37" s="184"/>
      <c r="BS37" s="184"/>
      <c r="BT37" s="184"/>
      <c r="BU37" s="184"/>
      <c r="BV37" s="184"/>
      <c r="BW37" s="184"/>
      <c r="BX37" s="184"/>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E37" t="s">
        <v>85</v>
      </c>
      <c r="DF37" t="str">
        <f t="shared" si="1"/>
        <v xml:space="preserve">   BARBADOS##</v>
      </c>
    </row>
    <row r="38" spans="1:111" ht="78.75" hidden="1" customHeight="1" x14ac:dyDescent="0.35">
      <c r="A38" s="18" t="s">
        <v>381</v>
      </c>
      <c r="B38" s="18" t="s">
        <v>382</v>
      </c>
      <c r="C38" s="18" t="s">
        <v>88</v>
      </c>
      <c r="D38" s="19" t="s">
        <v>383</v>
      </c>
      <c r="E38" s="18" t="s">
        <v>90</v>
      </c>
      <c r="F38" s="20" t="s">
        <v>384</v>
      </c>
      <c r="G38" s="20" t="s">
        <v>385</v>
      </c>
      <c r="H38" s="20" t="s">
        <v>93</v>
      </c>
      <c r="I38" s="20" t="s">
        <v>94</v>
      </c>
      <c r="J38" s="20" t="s">
        <v>386</v>
      </c>
      <c r="K38" s="20" t="s">
        <v>96</v>
      </c>
      <c r="L38" s="20" t="s">
        <v>97</v>
      </c>
      <c r="M38" s="20" t="s">
        <v>98</v>
      </c>
      <c r="N38" s="20" t="s">
        <v>387</v>
      </c>
      <c r="O38" s="20" t="s">
        <v>100</v>
      </c>
      <c r="P38" s="20" t="s">
        <v>101</v>
      </c>
      <c r="Q38" s="20" t="s">
        <v>102</v>
      </c>
      <c r="R38" s="20" t="s">
        <v>103</v>
      </c>
      <c r="S38" s="20" t="s">
        <v>104</v>
      </c>
      <c r="T38" s="20" t="s">
        <v>105</v>
      </c>
      <c r="U38" s="20" t="s">
        <v>106</v>
      </c>
      <c r="V38" s="21" t="s">
        <v>243</v>
      </c>
      <c r="W38" s="21" t="s">
        <v>108</v>
      </c>
      <c r="X38" s="21" t="s">
        <v>109</v>
      </c>
      <c r="Y38" s="21" t="s">
        <v>388</v>
      </c>
      <c r="Z38" s="21" t="s">
        <v>256</v>
      </c>
      <c r="AA38" s="21" t="s">
        <v>112</v>
      </c>
      <c r="AB38" s="21" t="s">
        <v>389</v>
      </c>
      <c r="AC38" s="21" t="s">
        <v>390</v>
      </c>
      <c r="AD38" s="22">
        <v>3670</v>
      </c>
      <c r="AE38" s="23" t="s">
        <v>115</v>
      </c>
      <c r="AF38" s="24"/>
      <c r="AG38" s="23" t="s">
        <v>116</v>
      </c>
      <c r="AH38" s="24"/>
      <c r="AI38" s="25" t="s">
        <v>117</v>
      </c>
      <c r="AJ38" s="24"/>
      <c r="AK38" s="25" t="s">
        <v>117</v>
      </c>
      <c r="AL38" s="22">
        <v>0</v>
      </c>
      <c r="AM38" s="23" t="s">
        <v>115</v>
      </c>
      <c r="AN38" s="24"/>
      <c r="AO38" s="25" t="s">
        <v>117</v>
      </c>
      <c r="AP38" s="22">
        <v>1610</v>
      </c>
      <c r="AQ38" s="23" t="s">
        <v>115</v>
      </c>
      <c r="AR38" s="24"/>
      <c r="AS38" s="23" t="s">
        <v>117</v>
      </c>
      <c r="AT38" s="22">
        <v>3850</v>
      </c>
      <c r="AU38" s="23" t="s">
        <v>116</v>
      </c>
      <c r="AV38" s="22">
        <v>2180</v>
      </c>
      <c r="AW38" s="23">
        <v>0</v>
      </c>
      <c r="AX38" s="27" t="s">
        <v>118</v>
      </c>
      <c r="AY38" s="23" t="s">
        <v>115</v>
      </c>
      <c r="AZ38" s="22">
        <v>500</v>
      </c>
      <c r="BA38" s="23" t="s">
        <v>115</v>
      </c>
      <c r="BB38" s="24"/>
      <c r="BC38" s="23" t="s">
        <v>115</v>
      </c>
      <c r="BD38" s="22">
        <v>800</v>
      </c>
      <c r="BE38" s="23" t="s">
        <v>115</v>
      </c>
      <c r="BF38" s="22">
        <v>750</v>
      </c>
      <c r="BG38" s="23" t="s">
        <v>115</v>
      </c>
      <c r="BH38" s="24"/>
      <c r="BI38" s="25" t="s">
        <v>117</v>
      </c>
      <c r="BJ38" s="24"/>
      <c r="BK38" s="25" t="s">
        <v>117</v>
      </c>
      <c r="BL38" s="24"/>
      <c r="BM38" s="25" t="s">
        <v>117</v>
      </c>
      <c r="BN38" s="24"/>
      <c r="BO38" s="25" t="s">
        <v>117</v>
      </c>
      <c r="BP38" s="24"/>
      <c r="BQ38" s="25" t="s">
        <v>117</v>
      </c>
      <c r="BR38" s="24"/>
      <c r="BS38" s="25" t="s">
        <v>117</v>
      </c>
      <c r="BT38" s="24"/>
      <c r="BU38" s="25" t="s">
        <v>117</v>
      </c>
      <c r="BV38" s="24"/>
      <c r="BW38" s="25" t="s">
        <v>117</v>
      </c>
      <c r="BX38" s="24"/>
      <c r="BY38" s="25" t="s">
        <v>117</v>
      </c>
      <c r="BZ38" s="24"/>
      <c r="CA38" s="25" t="s">
        <v>117</v>
      </c>
      <c r="CB38" s="24"/>
      <c r="CC38" s="25" t="s">
        <v>117</v>
      </c>
      <c r="CD38" s="24"/>
      <c r="CE38" s="25" t="s">
        <v>117</v>
      </c>
      <c r="CF38" s="24"/>
      <c r="CG38" s="25" t="s">
        <v>117</v>
      </c>
      <c r="CH38" s="24"/>
      <c r="CI38" s="25"/>
      <c r="CJ38" s="24"/>
      <c r="CK38" s="29" t="s">
        <v>117</v>
      </c>
      <c r="CL38" s="24"/>
      <c r="CM38" s="29" t="s">
        <v>117</v>
      </c>
      <c r="CN38" s="24"/>
      <c r="CO38" s="25" t="s">
        <v>117</v>
      </c>
      <c r="CP38" s="30">
        <v>400</v>
      </c>
      <c r="CQ38" s="23" t="s">
        <v>115</v>
      </c>
      <c r="CR38" s="32"/>
      <c r="CS38" s="23" t="s">
        <v>117</v>
      </c>
      <c r="CT38" s="32"/>
      <c r="CU38" s="23" t="s">
        <v>117</v>
      </c>
      <c r="CV38" s="32"/>
      <c r="CW38" s="23" t="s">
        <v>117</v>
      </c>
      <c r="CX38" s="32"/>
      <c r="CY38" s="25" t="s">
        <v>117</v>
      </c>
      <c r="CZ38" s="32"/>
      <c r="DA38" s="25" t="s">
        <v>117</v>
      </c>
      <c r="DB38" s="33" t="s">
        <v>391</v>
      </c>
      <c r="DC38" s="25" t="s">
        <v>116</v>
      </c>
      <c r="DD38" s="34">
        <f t="shared" ref="DD38:DD47" si="7">ROUND(0.075*SUM(AD38,AF38,AH38,AJ38,AL38,AN38,AP38,AR38,AT38,AV38,AX38,AZ38,BB38,BR38,BT38,BV38,BX38,BZ38,CB38,CD38,CF38,CJ38,CL38,CN38,CP38,CR38,CT38,CV38,CX38,CZ38),0)</f>
        <v>916</v>
      </c>
      <c r="DE38" t="s">
        <v>392</v>
      </c>
      <c r="DF38" t="str">
        <f t="shared" si="1"/>
        <v>Barbados#Company#Barbados Domestic</v>
      </c>
      <c r="DG38" t="b">
        <f t="shared" ref="DG38:DG47" si="8">DE38=DF38</f>
        <v>1</v>
      </c>
    </row>
    <row r="39" spans="1:111" ht="78.75" hidden="1" customHeight="1" x14ac:dyDescent="0.35">
      <c r="A39" s="35" t="s">
        <v>381</v>
      </c>
      <c r="B39" s="18" t="s">
        <v>382</v>
      </c>
      <c r="C39" s="35" t="s">
        <v>88</v>
      </c>
      <c r="D39" s="36" t="s">
        <v>393</v>
      </c>
      <c r="E39" s="35" t="s">
        <v>90</v>
      </c>
      <c r="F39" s="20" t="s">
        <v>394</v>
      </c>
      <c r="G39" s="20" t="s">
        <v>395</v>
      </c>
      <c r="H39" s="20" t="s">
        <v>93</v>
      </c>
      <c r="I39" s="20" t="s">
        <v>94</v>
      </c>
      <c r="J39" s="20" t="s">
        <v>386</v>
      </c>
      <c r="K39" s="20" t="s">
        <v>96</v>
      </c>
      <c r="L39" s="20" t="s">
        <v>97</v>
      </c>
      <c r="M39" s="20" t="s">
        <v>98</v>
      </c>
      <c r="N39" s="20" t="s">
        <v>387</v>
      </c>
      <c r="O39" s="20" t="s">
        <v>100</v>
      </c>
      <c r="P39" s="20" t="s">
        <v>101</v>
      </c>
      <c r="Q39" s="20" t="s">
        <v>102</v>
      </c>
      <c r="R39" s="20" t="s">
        <v>103</v>
      </c>
      <c r="S39" s="20" t="s">
        <v>104</v>
      </c>
      <c r="T39" s="20" t="s">
        <v>105</v>
      </c>
      <c r="U39" s="20" t="s">
        <v>106</v>
      </c>
      <c r="V39" s="21" t="s">
        <v>243</v>
      </c>
      <c r="W39" s="21" t="s">
        <v>108</v>
      </c>
      <c r="X39" s="21" t="s">
        <v>109</v>
      </c>
      <c r="Y39" s="21" t="s">
        <v>388</v>
      </c>
      <c r="Z39" s="21" t="s">
        <v>256</v>
      </c>
      <c r="AA39" s="21" t="s">
        <v>112</v>
      </c>
      <c r="AB39" s="21" t="s">
        <v>396</v>
      </c>
      <c r="AC39" s="21" t="s">
        <v>397</v>
      </c>
      <c r="AD39" s="37">
        <v>3200</v>
      </c>
      <c r="AE39" s="23" t="s">
        <v>115</v>
      </c>
      <c r="AF39" s="38"/>
      <c r="AG39" s="23" t="s">
        <v>116</v>
      </c>
      <c r="AH39" s="38"/>
      <c r="AI39" s="25" t="s">
        <v>117</v>
      </c>
      <c r="AJ39" s="38"/>
      <c r="AK39" s="25" t="s">
        <v>117</v>
      </c>
      <c r="AL39" s="22">
        <v>0</v>
      </c>
      <c r="AM39" s="23" t="s">
        <v>115</v>
      </c>
      <c r="AN39" s="38"/>
      <c r="AO39" s="25" t="s">
        <v>117</v>
      </c>
      <c r="AP39" s="37">
        <v>2600</v>
      </c>
      <c r="AQ39" s="23" t="s">
        <v>115</v>
      </c>
      <c r="AR39" s="38"/>
      <c r="AS39" s="23" t="s">
        <v>117</v>
      </c>
      <c r="AT39" s="39" t="s">
        <v>118</v>
      </c>
      <c r="AU39" s="23" t="s">
        <v>116</v>
      </c>
      <c r="AV39" s="39" t="s">
        <v>118</v>
      </c>
      <c r="AW39" s="23">
        <v>0</v>
      </c>
      <c r="AX39" s="39" t="s">
        <v>118</v>
      </c>
      <c r="AY39" s="23" t="s">
        <v>115</v>
      </c>
      <c r="AZ39" s="39" t="s">
        <v>118</v>
      </c>
      <c r="BA39" s="23" t="s">
        <v>115</v>
      </c>
      <c r="BB39" s="40"/>
      <c r="BC39" s="23" t="s">
        <v>115</v>
      </c>
      <c r="BD39" s="39" t="s">
        <v>118</v>
      </c>
      <c r="BE39" s="23" t="s">
        <v>115</v>
      </c>
      <c r="BF39" s="39" t="s">
        <v>118</v>
      </c>
      <c r="BG39" s="23" t="s">
        <v>115</v>
      </c>
      <c r="BH39" s="40"/>
      <c r="BI39" s="25" t="s">
        <v>117</v>
      </c>
      <c r="BJ39" s="40"/>
      <c r="BK39" s="25" t="s">
        <v>117</v>
      </c>
      <c r="BL39" s="40"/>
      <c r="BM39" s="25" t="s">
        <v>117</v>
      </c>
      <c r="BN39" s="40"/>
      <c r="BO39" s="25" t="s">
        <v>117</v>
      </c>
      <c r="BP39" s="40"/>
      <c r="BQ39" s="25" t="s">
        <v>117</v>
      </c>
      <c r="BR39" s="40"/>
      <c r="BS39" s="25" t="s">
        <v>117</v>
      </c>
      <c r="BT39" s="40"/>
      <c r="BU39" s="25" t="s">
        <v>117</v>
      </c>
      <c r="BV39" s="40"/>
      <c r="BW39" s="25" t="s">
        <v>117</v>
      </c>
      <c r="BX39" s="40"/>
      <c r="BY39" s="25" t="s">
        <v>117</v>
      </c>
      <c r="BZ39" s="40"/>
      <c r="CA39" s="25" t="s">
        <v>117</v>
      </c>
      <c r="CB39" s="40"/>
      <c r="CC39" s="25" t="s">
        <v>117</v>
      </c>
      <c r="CD39" s="40"/>
      <c r="CE39" s="25" t="s">
        <v>117</v>
      </c>
      <c r="CF39" s="40"/>
      <c r="CG39" s="25" t="s">
        <v>117</v>
      </c>
      <c r="CH39" s="40"/>
      <c r="CI39" s="25"/>
      <c r="CJ39" s="40"/>
      <c r="CK39" s="41" t="s">
        <v>117</v>
      </c>
      <c r="CL39" s="40"/>
      <c r="CM39" s="41" t="s">
        <v>117</v>
      </c>
      <c r="CN39" s="40"/>
      <c r="CO39" s="25" t="s">
        <v>117</v>
      </c>
      <c r="CP39" s="30">
        <v>400</v>
      </c>
      <c r="CQ39" s="23" t="s">
        <v>115</v>
      </c>
      <c r="CR39" s="32"/>
      <c r="CS39" s="23" t="s">
        <v>117</v>
      </c>
      <c r="CT39" s="32"/>
      <c r="CU39" s="23" t="s">
        <v>117</v>
      </c>
      <c r="CV39" s="32"/>
      <c r="CW39" s="23" t="s">
        <v>117</v>
      </c>
      <c r="CX39" s="32"/>
      <c r="CY39" s="25" t="s">
        <v>117</v>
      </c>
      <c r="CZ39" s="32"/>
      <c r="DA39" s="25" t="s">
        <v>117</v>
      </c>
      <c r="DB39" s="33" t="s">
        <v>120</v>
      </c>
      <c r="DC39" s="25" t="s">
        <v>116</v>
      </c>
      <c r="DD39" s="34">
        <f t="shared" si="7"/>
        <v>465</v>
      </c>
      <c r="DE39" t="s">
        <v>398</v>
      </c>
      <c r="DF39" t="str">
        <f t="shared" si="1"/>
        <v>Barbados#Company#Barbados SRL</v>
      </c>
      <c r="DG39" t="b">
        <f t="shared" si="8"/>
        <v>1</v>
      </c>
    </row>
    <row r="40" spans="1:111" ht="78.75" hidden="1" customHeight="1" x14ac:dyDescent="0.35">
      <c r="A40" s="18" t="s">
        <v>381</v>
      </c>
      <c r="B40" s="18" t="s">
        <v>382</v>
      </c>
      <c r="C40" s="18" t="s">
        <v>88</v>
      </c>
      <c r="D40" s="19" t="s">
        <v>399</v>
      </c>
      <c r="E40" s="18" t="s">
        <v>90</v>
      </c>
      <c r="F40" s="20" t="s">
        <v>400</v>
      </c>
      <c r="G40" s="20" t="s">
        <v>401</v>
      </c>
      <c r="H40" s="20" t="s">
        <v>93</v>
      </c>
      <c r="I40" s="20" t="s">
        <v>94</v>
      </c>
      <c r="J40" s="20" t="s">
        <v>386</v>
      </c>
      <c r="K40" s="20" t="s">
        <v>96</v>
      </c>
      <c r="L40" s="20" t="s">
        <v>97</v>
      </c>
      <c r="M40" s="20" t="s">
        <v>98</v>
      </c>
      <c r="N40" s="20" t="s">
        <v>387</v>
      </c>
      <c r="O40" s="20" t="s">
        <v>100</v>
      </c>
      <c r="P40" s="20" t="s">
        <v>101</v>
      </c>
      <c r="Q40" s="20" t="s">
        <v>102</v>
      </c>
      <c r="R40" s="20" t="s">
        <v>103</v>
      </c>
      <c r="S40" s="20" t="s">
        <v>104</v>
      </c>
      <c r="T40" s="20" t="s">
        <v>105</v>
      </c>
      <c r="U40" s="20" t="s">
        <v>106</v>
      </c>
      <c r="V40" s="21" t="s">
        <v>180</v>
      </c>
      <c r="W40" s="21" t="s">
        <v>108</v>
      </c>
      <c r="X40" s="21" t="s">
        <v>181</v>
      </c>
      <c r="Y40" s="21" t="s">
        <v>402</v>
      </c>
      <c r="Z40" s="21" t="s">
        <v>256</v>
      </c>
      <c r="AA40" s="21" t="s">
        <v>112</v>
      </c>
      <c r="AB40" s="21" t="s">
        <v>403</v>
      </c>
      <c r="AC40" s="21" t="s">
        <v>404</v>
      </c>
      <c r="AD40" s="22">
        <v>5330</v>
      </c>
      <c r="AE40" s="23" t="s">
        <v>115</v>
      </c>
      <c r="AF40" s="24"/>
      <c r="AG40" s="23" t="s">
        <v>116</v>
      </c>
      <c r="AH40" s="24"/>
      <c r="AI40" s="25" t="s">
        <v>117</v>
      </c>
      <c r="AJ40" s="24"/>
      <c r="AK40" s="25" t="s">
        <v>117</v>
      </c>
      <c r="AL40" s="22">
        <v>0</v>
      </c>
      <c r="AM40" s="23" t="s">
        <v>115</v>
      </c>
      <c r="AN40" s="24"/>
      <c r="AO40" s="25" t="s">
        <v>117</v>
      </c>
      <c r="AP40" s="22">
        <v>3080</v>
      </c>
      <c r="AQ40" s="23" t="s">
        <v>115</v>
      </c>
      <c r="AR40" s="24"/>
      <c r="AS40" s="23" t="s">
        <v>117</v>
      </c>
      <c r="AT40" s="22">
        <v>4240</v>
      </c>
      <c r="AU40" s="23" t="s">
        <v>116</v>
      </c>
      <c r="AV40" s="22">
        <v>2960</v>
      </c>
      <c r="AW40" s="23">
        <v>0</v>
      </c>
      <c r="AX40" s="27" t="s">
        <v>118</v>
      </c>
      <c r="AY40" s="23" t="s">
        <v>115</v>
      </c>
      <c r="AZ40" s="22">
        <v>500</v>
      </c>
      <c r="BA40" s="23" t="s">
        <v>115</v>
      </c>
      <c r="BB40" s="24"/>
      <c r="BC40" s="23" t="s">
        <v>115</v>
      </c>
      <c r="BD40" s="27" t="s">
        <v>118</v>
      </c>
      <c r="BE40" s="23" t="s">
        <v>115</v>
      </c>
      <c r="BF40" s="22">
        <v>1100</v>
      </c>
      <c r="BG40" s="23" t="s">
        <v>115</v>
      </c>
      <c r="BH40" s="24"/>
      <c r="BI40" s="25" t="s">
        <v>117</v>
      </c>
      <c r="BJ40" s="24"/>
      <c r="BK40" s="25" t="s">
        <v>117</v>
      </c>
      <c r="BL40" s="24"/>
      <c r="BM40" s="25" t="s">
        <v>117</v>
      </c>
      <c r="BN40" s="24"/>
      <c r="BO40" s="25" t="s">
        <v>117</v>
      </c>
      <c r="BP40" s="24"/>
      <c r="BQ40" s="25" t="s">
        <v>117</v>
      </c>
      <c r="BR40" s="24"/>
      <c r="BS40" s="25" t="s">
        <v>117</v>
      </c>
      <c r="BT40" s="24"/>
      <c r="BU40" s="25" t="s">
        <v>117</v>
      </c>
      <c r="BV40" s="24"/>
      <c r="BW40" s="25" t="s">
        <v>117</v>
      </c>
      <c r="BX40" s="24"/>
      <c r="BY40" s="25" t="s">
        <v>117</v>
      </c>
      <c r="BZ40" s="24"/>
      <c r="CA40" s="25" t="s">
        <v>117</v>
      </c>
      <c r="CB40" s="24"/>
      <c r="CC40" s="25" t="s">
        <v>117</v>
      </c>
      <c r="CD40" s="24"/>
      <c r="CE40" s="25" t="s">
        <v>117</v>
      </c>
      <c r="CF40" s="24"/>
      <c r="CG40" s="25" t="s">
        <v>117</v>
      </c>
      <c r="CH40" s="24"/>
      <c r="CI40" s="25"/>
      <c r="CJ40" s="24"/>
      <c r="CK40" s="29" t="s">
        <v>117</v>
      </c>
      <c r="CL40" s="24"/>
      <c r="CM40" s="29" t="s">
        <v>117</v>
      </c>
      <c r="CN40" s="24"/>
      <c r="CO40" s="25" t="s">
        <v>117</v>
      </c>
      <c r="CP40" s="30">
        <v>400</v>
      </c>
      <c r="CQ40" s="23" t="s">
        <v>115</v>
      </c>
      <c r="CR40" s="32"/>
      <c r="CS40" s="23" t="s">
        <v>117</v>
      </c>
      <c r="CT40" s="32"/>
      <c r="CU40" s="23" t="s">
        <v>117</v>
      </c>
      <c r="CV40" s="32"/>
      <c r="CW40" s="23" t="s">
        <v>117</v>
      </c>
      <c r="CX40" s="32"/>
      <c r="CY40" s="25" t="s">
        <v>117</v>
      </c>
      <c r="CZ40" s="32"/>
      <c r="DA40" s="25" t="s">
        <v>117</v>
      </c>
      <c r="DB40" s="33" t="s">
        <v>120</v>
      </c>
      <c r="DC40" s="25" t="s">
        <v>116</v>
      </c>
      <c r="DD40" s="34">
        <f t="shared" si="7"/>
        <v>1238</v>
      </c>
      <c r="DE40" t="s">
        <v>405</v>
      </c>
      <c r="DF40" t="str">
        <f t="shared" si="1"/>
        <v>Barbados#Company#Barbados SCC</v>
      </c>
      <c r="DG40" t="b">
        <f t="shared" si="8"/>
        <v>1</v>
      </c>
    </row>
    <row r="41" spans="1:111" ht="78.75" hidden="1" customHeight="1" x14ac:dyDescent="0.35">
      <c r="A41" s="35" t="s">
        <v>381</v>
      </c>
      <c r="B41" s="18" t="s">
        <v>382</v>
      </c>
      <c r="C41" s="35" t="s">
        <v>122</v>
      </c>
      <c r="D41" s="36" t="s">
        <v>406</v>
      </c>
      <c r="E41" s="35" t="s">
        <v>90</v>
      </c>
      <c r="F41" s="20" t="s">
        <v>407</v>
      </c>
      <c r="G41" s="20" t="s">
        <v>408</v>
      </c>
      <c r="H41" s="20" t="s">
        <v>126</v>
      </c>
      <c r="I41" s="20" t="s">
        <v>127</v>
      </c>
      <c r="J41" s="20" t="s">
        <v>386</v>
      </c>
      <c r="K41" s="20" t="s">
        <v>96</v>
      </c>
      <c r="L41" s="20" t="s">
        <v>97</v>
      </c>
      <c r="M41" s="20" t="s">
        <v>98</v>
      </c>
      <c r="N41" s="20" t="s">
        <v>128</v>
      </c>
      <c r="O41" s="20" t="s">
        <v>129</v>
      </c>
      <c r="P41" s="20" t="s">
        <v>130</v>
      </c>
      <c r="Q41" s="20" t="s">
        <v>131</v>
      </c>
      <c r="R41" s="20" t="s">
        <v>132</v>
      </c>
      <c r="S41" s="20" t="s">
        <v>133</v>
      </c>
      <c r="T41" s="20" t="s">
        <v>134</v>
      </c>
      <c r="U41" s="20" t="s">
        <v>135</v>
      </c>
      <c r="V41" s="21" t="s">
        <v>122</v>
      </c>
      <c r="W41" s="21" t="s">
        <v>108</v>
      </c>
      <c r="X41" s="21" t="s">
        <v>109</v>
      </c>
      <c r="Y41" s="21" t="s">
        <v>409</v>
      </c>
      <c r="Z41" s="21" t="s">
        <v>111</v>
      </c>
      <c r="AA41" s="21"/>
      <c r="AB41" s="21" t="s">
        <v>410</v>
      </c>
      <c r="AC41" s="21" t="s">
        <v>411</v>
      </c>
      <c r="AD41" s="26">
        <v>7000</v>
      </c>
      <c r="AE41" s="23" t="s">
        <v>115</v>
      </c>
      <c r="AF41" s="38"/>
      <c r="AG41" s="23" t="s">
        <v>116</v>
      </c>
      <c r="AH41" s="38"/>
      <c r="AI41" s="25" t="s">
        <v>117</v>
      </c>
      <c r="AJ41" s="38"/>
      <c r="AK41" s="25" t="s">
        <v>117</v>
      </c>
      <c r="AL41" s="22">
        <v>0</v>
      </c>
      <c r="AM41" s="23" t="s">
        <v>115</v>
      </c>
      <c r="AN41" s="38"/>
      <c r="AO41" s="25" t="s">
        <v>117</v>
      </c>
      <c r="AQ41" s="23" t="s">
        <v>117</v>
      </c>
      <c r="AR41" s="26">
        <v>7000</v>
      </c>
      <c r="AS41" s="23" t="s">
        <v>115</v>
      </c>
      <c r="AT41" s="39" t="s">
        <v>118</v>
      </c>
      <c r="AU41" s="23" t="s">
        <v>116</v>
      </c>
      <c r="AV41" s="39" t="s">
        <v>118</v>
      </c>
      <c r="AW41" s="23">
        <v>0</v>
      </c>
      <c r="AX41" s="39" t="s">
        <v>118</v>
      </c>
      <c r="AY41" s="23" t="s">
        <v>115</v>
      </c>
      <c r="AZ41" s="26">
        <v>800</v>
      </c>
      <c r="BA41" s="23" t="s">
        <v>115</v>
      </c>
      <c r="BB41" s="40"/>
      <c r="BC41" s="23" t="s">
        <v>115</v>
      </c>
      <c r="BD41" s="26">
        <v>1000</v>
      </c>
      <c r="BE41" s="23" t="s">
        <v>115</v>
      </c>
      <c r="BF41" s="26">
        <v>650</v>
      </c>
      <c r="BG41" s="23" t="s">
        <v>115</v>
      </c>
      <c r="BH41" s="40"/>
      <c r="BI41" s="25" t="s">
        <v>117</v>
      </c>
      <c r="BJ41" s="40"/>
      <c r="BK41" s="25" t="s">
        <v>117</v>
      </c>
      <c r="BL41" s="40"/>
      <c r="BM41" s="25" t="s">
        <v>117</v>
      </c>
      <c r="BN41" s="40"/>
      <c r="BO41" s="25" t="s">
        <v>117</v>
      </c>
      <c r="BP41" s="40"/>
      <c r="BQ41" s="25" t="s">
        <v>117</v>
      </c>
      <c r="BR41" s="40"/>
      <c r="BS41" s="25" t="s">
        <v>117</v>
      </c>
      <c r="BT41" s="40"/>
      <c r="BU41" s="25" t="s">
        <v>117</v>
      </c>
      <c r="BV41" s="40"/>
      <c r="BW41" s="25" t="s">
        <v>117</v>
      </c>
      <c r="BX41" s="40"/>
      <c r="BY41" s="25" t="s">
        <v>117</v>
      </c>
      <c r="BZ41" s="40"/>
      <c r="CA41" s="25" t="s">
        <v>117</v>
      </c>
      <c r="CB41" s="40"/>
      <c r="CC41" s="25" t="s">
        <v>117</v>
      </c>
      <c r="CD41" s="40"/>
      <c r="CE41" s="25" t="s">
        <v>117</v>
      </c>
      <c r="CF41" s="40"/>
      <c r="CG41" s="25" t="s">
        <v>117</v>
      </c>
      <c r="CH41" s="40"/>
      <c r="CI41" s="25"/>
      <c r="CJ41" s="40"/>
      <c r="CK41" s="41" t="s">
        <v>117</v>
      </c>
      <c r="CL41" s="40"/>
      <c r="CM41" s="41" t="s">
        <v>117</v>
      </c>
      <c r="CN41" s="40"/>
      <c r="CO41" s="25" t="s">
        <v>117</v>
      </c>
      <c r="CP41" s="30">
        <v>400</v>
      </c>
      <c r="CQ41" s="23" t="s">
        <v>115</v>
      </c>
      <c r="CR41" s="32"/>
      <c r="CS41" s="23" t="s">
        <v>117</v>
      </c>
      <c r="CT41" s="32"/>
      <c r="CU41" s="23" t="s">
        <v>117</v>
      </c>
      <c r="CV41" s="32"/>
      <c r="CW41" s="23" t="s">
        <v>117</v>
      </c>
      <c r="CX41" s="32"/>
      <c r="CY41" s="25" t="s">
        <v>117</v>
      </c>
      <c r="CZ41" s="32"/>
      <c r="DA41" s="25" t="s">
        <v>117</v>
      </c>
      <c r="DB41" s="33" t="s">
        <v>120</v>
      </c>
      <c r="DC41" s="25" t="s">
        <v>116</v>
      </c>
      <c r="DD41" s="34">
        <f t="shared" si="7"/>
        <v>1140</v>
      </c>
      <c r="DE41" t="s">
        <v>412</v>
      </c>
      <c r="DF41" t="str">
        <f t="shared" si="1"/>
        <v>Barbados#Trust#Barbados Trust with Swiss Trustee</v>
      </c>
      <c r="DG41" t="b">
        <f t="shared" si="8"/>
        <v>1</v>
      </c>
    </row>
    <row r="42" spans="1:111" ht="78.75" customHeight="1" x14ac:dyDescent="0.35">
      <c r="A42" s="42" t="s">
        <v>381</v>
      </c>
      <c r="B42" s="18" t="s">
        <v>382</v>
      </c>
      <c r="C42" s="42" t="s">
        <v>141</v>
      </c>
      <c r="D42" s="43" t="s">
        <v>413</v>
      </c>
      <c r="E42" s="42" t="s">
        <v>90</v>
      </c>
      <c r="F42" s="20" t="s">
        <v>143</v>
      </c>
      <c r="G42" s="20" t="s">
        <v>414</v>
      </c>
      <c r="H42" s="20" t="s">
        <v>145</v>
      </c>
      <c r="I42" s="20" t="s">
        <v>146</v>
      </c>
      <c r="J42" s="20" t="s">
        <v>386</v>
      </c>
      <c r="K42" s="20" t="s">
        <v>96</v>
      </c>
      <c r="L42" s="20" t="s">
        <v>97</v>
      </c>
      <c r="M42" s="20" t="s">
        <v>98</v>
      </c>
      <c r="N42" s="20" t="s">
        <v>147</v>
      </c>
      <c r="O42" s="20" t="s">
        <v>148</v>
      </c>
      <c r="P42" s="20" t="s">
        <v>149</v>
      </c>
      <c r="Q42" s="20" t="s">
        <v>150</v>
      </c>
      <c r="R42" s="20" t="s">
        <v>151</v>
      </c>
      <c r="S42" s="20" t="s">
        <v>152</v>
      </c>
      <c r="T42" s="20" t="s">
        <v>153</v>
      </c>
      <c r="U42" s="20" t="s">
        <v>154</v>
      </c>
      <c r="V42" s="21" t="s">
        <v>155</v>
      </c>
      <c r="W42" s="21" t="s">
        <v>108</v>
      </c>
      <c r="X42" s="21" t="s">
        <v>109</v>
      </c>
      <c r="Y42" s="21" t="s">
        <v>415</v>
      </c>
      <c r="Z42" s="21" t="s">
        <v>111</v>
      </c>
      <c r="AA42" s="21" t="s">
        <v>112</v>
      </c>
      <c r="AB42" s="21" t="s">
        <v>416</v>
      </c>
      <c r="AC42" s="21" t="s">
        <v>417</v>
      </c>
      <c r="AE42" s="23" t="s">
        <v>115</v>
      </c>
      <c r="AF42" s="44"/>
      <c r="AG42" s="23" t="s">
        <v>116</v>
      </c>
      <c r="AH42" s="44"/>
      <c r="AI42" s="25" t="s">
        <v>117</v>
      </c>
      <c r="AJ42" s="44"/>
      <c r="AK42" s="25" t="s">
        <v>117</v>
      </c>
      <c r="AL42" s="22">
        <v>0</v>
      </c>
      <c r="AM42" s="23" t="s">
        <v>115</v>
      </c>
      <c r="AN42" s="44"/>
      <c r="AO42" s="25" t="s">
        <v>117</v>
      </c>
      <c r="AP42" s="45" t="s">
        <v>118</v>
      </c>
      <c r="AQ42" s="23" t="s">
        <v>115</v>
      </c>
      <c r="AR42" s="46"/>
      <c r="AS42" s="23" t="s">
        <v>117</v>
      </c>
      <c r="AT42" s="45" t="s">
        <v>118</v>
      </c>
      <c r="AU42" s="23" t="s">
        <v>116</v>
      </c>
      <c r="AV42" s="45" t="s">
        <v>118</v>
      </c>
      <c r="AW42" s="23" t="s">
        <v>115</v>
      </c>
      <c r="AX42" s="45" t="s">
        <v>118</v>
      </c>
      <c r="AY42" s="23" t="s">
        <v>115</v>
      </c>
      <c r="AZ42" s="45" t="s">
        <v>118</v>
      </c>
      <c r="BA42" s="23" t="s">
        <v>115</v>
      </c>
      <c r="BB42" s="46"/>
      <c r="BC42" s="23" t="s">
        <v>115</v>
      </c>
      <c r="BD42" s="45" t="s">
        <v>118</v>
      </c>
      <c r="BE42" s="23" t="s">
        <v>115</v>
      </c>
      <c r="BF42" s="45" t="s">
        <v>118</v>
      </c>
      <c r="BG42" s="23" t="s">
        <v>115</v>
      </c>
      <c r="BH42" s="46"/>
      <c r="BI42" s="25" t="s">
        <v>117</v>
      </c>
      <c r="BJ42" s="46"/>
      <c r="BK42" s="25" t="s">
        <v>117</v>
      </c>
      <c r="BL42" s="46"/>
      <c r="BM42" s="25" t="s">
        <v>117</v>
      </c>
      <c r="BN42" s="46"/>
      <c r="BO42" s="25" t="s">
        <v>117</v>
      </c>
      <c r="BP42" s="46"/>
      <c r="BQ42" s="25" t="s">
        <v>117</v>
      </c>
      <c r="BR42" s="47">
        <v>10000</v>
      </c>
      <c r="BS42" s="25" t="s">
        <v>115</v>
      </c>
      <c r="BT42" s="46"/>
      <c r="BU42" s="25" t="s">
        <v>117</v>
      </c>
      <c r="BV42" s="46"/>
      <c r="BW42" s="25" t="s">
        <v>117</v>
      </c>
      <c r="BX42" s="46"/>
      <c r="BY42" s="25" t="s">
        <v>117</v>
      </c>
      <c r="BZ42" s="46"/>
      <c r="CA42" s="25" t="s">
        <v>117</v>
      </c>
      <c r="CB42" s="45" t="s">
        <v>159</v>
      </c>
      <c r="CC42" s="25" t="s">
        <v>116</v>
      </c>
      <c r="CD42" s="46"/>
      <c r="CE42" s="25" t="s">
        <v>117</v>
      </c>
      <c r="CF42" s="46"/>
      <c r="CG42" s="25" t="s">
        <v>117</v>
      </c>
      <c r="CH42" s="151">
        <v>5000</v>
      </c>
      <c r="CI42" s="25" t="s">
        <v>116</v>
      </c>
      <c r="CJ42" s="151">
        <v>2500</v>
      </c>
      <c r="CK42" s="48" t="s">
        <v>116</v>
      </c>
      <c r="CL42" s="46">
        <v>1500</v>
      </c>
      <c r="CM42" s="48" t="s">
        <v>116</v>
      </c>
      <c r="CN42" s="46">
        <v>1500</v>
      </c>
      <c r="CO42" s="25" t="s">
        <v>116</v>
      </c>
      <c r="CP42" s="30">
        <v>400</v>
      </c>
      <c r="CQ42" s="23" t="s">
        <v>115</v>
      </c>
      <c r="CR42" s="32"/>
      <c r="CS42" s="23" t="s">
        <v>117</v>
      </c>
      <c r="CT42" s="32"/>
      <c r="CU42" s="23" t="s">
        <v>117</v>
      </c>
      <c r="CV42" s="32"/>
      <c r="CW42" s="23" t="s">
        <v>117</v>
      </c>
      <c r="CX42" s="32"/>
      <c r="CY42" s="25" t="s">
        <v>117</v>
      </c>
      <c r="CZ42" s="32"/>
      <c r="DA42" s="25" t="s">
        <v>117</v>
      </c>
      <c r="DB42" s="33" t="s">
        <v>120</v>
      </c>
      <c r="DC42" s="25" t="s">
        <v>116</v>
      </c>
      <c r="DD42" s="34">
        <f t="shared" si="7"/>
        <v>1193</v>
      </c>
      <c r="DE42" t="s">
        <v>418</v>
      </c>
      <c r="DF42" t="str">
        <f t="shared" si="1"/>
        <v>Barbados#Fund#Barbados Ltd</v>
      </c>
      <c r="DG42" t="b">
        <f t="shared" si="8"/>
        <v>1</v>
      </c>
    </row>
    <row r="43" spans="1:111" ht="78.75" customHeight="1" x14ac:dyDescent="0.35">
      <c r="A43" s="35" t="s">
        <v>381</v>
      </c>
      <c r="B43" s="18" t="s">
        <v>382</v>
      </c>
      <c r="C43" s="35" t="s">
        <v>141</v>
      </c>
      <c r="D43" s="36" t="s">
        <v>393</v>
      </c>
      <c r="E43" s="35" t="s">
        <v>90</v>
      </c>
      <c r="F43" s="20" t="s">
        <v>394</v>
      </c>
      <c r="G43" s="20" t="s">
        <v>419</v>
      </c>
      <c r="H43" s="20" t="s">
        <v>145</v>
      </c>
      <c r="I43" s="20" t="s">
        <v>146</v>
      </c>
      <c r="J43" s="20" t="s">
        <v>386</v>
      </c>
      <c r="K43" s="20" t="s">
        <v>96</v>
      </c>
      <c r="L43" s="20" t="s">
        <v>97</v>
      </c>
      <c r="M43" s="20" t="s">
        <v>98</v>
      </c>
      <c r="N43" s="20" t="s">
        <v>147</v>
      </c>
      <c r="O43" s="20" t="s">
        <v>148</v>
      </c>
      <c r="P43" s="20" t="s">
        <v>149</v>
      </c>
      <c r="Q43" s="20" t="s">
        <v>150</v>
      </c>
      <c r="R43" s="20" t="s">
        <v>151</v>
      </c>
      <c r="S43" s="20" t="s">
        <v>152</v>
      </c>
      <c r="T43" s="20" t="s">
        <v>153</v>
      </c>
      <c r="U43" s="20" t="s">
        <v>154</v>
      </c>
      <c r="V43" s="21" t="s">
        <v>155</v>
      </c>
      <c r="W43" s="21" t="s">
        <v>108</v>
      </c>
      <c r="X43" s="21" t="s">
        <v>109</v>
      </c>
      <c r="Y43" s="21" t="s">
        <v>415</v>
      </c>
      <c r="Z43" s="21" t="s">
        <v>111</v>
      </c>
      <c r="AA43" s="21" t="s">
        <v>112</v>
      </c>
      <c r="AB43" s="21" t="s">
        <v>420</v>
      </c>
      <c r="AC43" s="21" t="s">
        <v>421</v>
      </c>
      <c r="AE43" s="23" t="s">
        <v>115</v>
      </c>
      <c r="AF43" s="38"/>
      <c r="AG43" s="23" t="s">
        <v>116</v>
      </c>
      <c r="AH43" s="38"/>
      <c r="AI43" s="25" t="s">
        <v>117</v>
      </c>
      <c r="AJ43" s="38"/>
      <c r="AK43" s="25" t="s">
        <v>117</v>
      </c>
      <c r="AL43" s="22">
        <v>0</v>
      </c>
      <c r="AM43" s="23" t="s">
        <v>115</v>
      </c>
      <c r="AN43" s="38"/>
      <c r="AO43" s="25" t="s">
        <v>117</v>
      </c>
      <c r="AP43" s="39" t="s">
        <v>118</v>
      </c>
      <c r="AQ43" s="23" t="s">
        <v>115</v>
      </c>
      <c r="AR43" s="40"/>
      <c r="AS43" s="23" t="s">
        <v>117</v>
      </c>
      <c r="AT43" s="39" t="s">
        <v>118</v>
      </c>
      <c r="AU43" s="23" t="s">
        <v>116</v>
      </c>
      <c r="AV43" s="39" t="s">
        <v>118</v>
      </c>
      <c r="AW43" s="23" t="s">
        <v>115</v>
      </c>
      <c r="AX43" s="39" t="s">
        <v>118</v>
      </c>
      <c r="AY43" s="23" t="s">
        <v>115</v>
      </c>
      <c r="AZ43" s="39" t="s">
        <v>118</v>
      </c>
      <c r="BA43" s="23" t="s">
        <v>115</v>
      </c>
      <c r="BB43" s="40"/>
      <c r="BC43" s="23" t="s">
        <v>115</v>
      </c>
      <c r="BD43" s="39" t="s">
        <v>118</v>
      </c>
      <c r="BE43" s="23" t="s">
        <v>115</v>
      </c>
      <c r="BF43" s="39" t="s">
        <v>118</v>
      </c>
      <c r="BG43" s="23" t="s">
        <v>115</v>
      </c>
      <c r="BH43" s="40"/>
      <c r="BI43" s="25" t="s">
        <v>117</v>
      </c>
      <c r="BJ43" s="40"/>
      <c r="BK43" s="25" t="s">
        <v>117</v>
      </c>
      <c r="BL43" s="40"/>
      <c r="BM43" s="25" t="s">
        <v>117</v>
      </c>
      <c r="BN43" s="40"/>
      <c r="BO43" s="25" t="s">
        <v>117</v>
      </c>
      <c r="BP43" s="40"/>
      <c r="BQ43" s="25" t="s">
        <v>117</v>
      </c>
      <c r="BR43" s="37">
        <v>10000</v>
      </c>
      <c r="BS43" s="25" t="s">
        <v>115</v>
      </c>
      <c r="BT43" s="40"/>
      <c r="BU43" s="25" t="s">
        <v>117</v>
      </c>
      <c r="BV43" s="40"/>
      <c r="BW43" s="25" t="s">
        <v>117</v>
      </c>
      <c r="BX43" s="40"/>
      <c r="BY43" s="25" t="s">
        <v>117</v>
      </c>
      <c r="BZ43" s="46"/>
      <c r="CA43" s="25" t="s">
        <v>117</v>
      </c>
      <c r="CB43" s="45" t="s">
        <v>159</v>
      </c>
      <c r="CC43" s="25" t="s">
        <v>116</v>
      </c>
      <c r="CD43" s="40"/>
      <c r="CE43" s="25" t="s">
        <v>117</v>
      </c>
      <c r="CF43" s="40"/>
      <c r="CG43" s="25" t="s">
        <v>117</v>
      </c>
      <c r="CH43" s="151">
        <v>5000</v>
      </c>
      <c r="CI43" s="25" t="s">
        <v>116</v>
      </c>
      <c r="CJ43" s="151">
        <v>2500</v>
      </c>
      <c r="CK43" s="48" t="s">
        <v>116</v>
      </c>
      <c r="CL43" s="46">
        <v>1500</v>
      </c>
      <c r="CM43" s="48" t="s">
        <v>116</v>
      </c>
      <c r="CN43" s="46">
        <v>1500</v>
      </c>
      <c r="CO43" s="25" t="s">
        <v>116</v>
      </c>
      <c r="CP43" s="30">
        <v>400</v>
      </c>
      <c r="CQ43" s="23" t="s">
        <v>115</v>
      </c>
      <c r="CR43" s="32"/>
      <c r="CS43" s="23" t="s">
        <v>117</v>
      </c>
      <c r="CT43" s="32"/>
      <c r="CU43" s="23" t="s">
        <v>117</v>
      </c>
      <c r="CV43" s="32"/>
      <c r="CW43" s="23" t="s">
        <v>117</v>
      </c>
      <c r="CX43" s="32"/>
      <c r="CY43" s="25" t="s">
        <v>117</v>
      </c>
      <c r="CZ43" s="32"/>
      <c r="DA43" s="25" t="s">
        <v>117</v>
      </c>
      <c r="DB43" s="33" t="s">
        <v>120</v>
      </c>
      <c r="DC43" s="25" t="s">
        <v>116</v>
      </c>
      <c r="DD43" s="34">
        <f t="shared" si="7"/>
        <v>1193</v>
      </c>
      <c r="DE43" t="s">
        <v>422</v>
      </c>
      <c r="DF43" t="str">
        <f t="shared" si="1"/>
        <v>Barbados#Fund#Barbados SRL</v>
      </c>
      <c r="DG43" t="b">
        <f t="shared" si="8"/>
        <v>1</v>
      </c>
    </row>
    <row r="44" spans="1:111" ht="78.75" customHeight="1" x14ac:dyDescent="0.35">
      <c r="A44" s="42" t="s">
        <v>381</v>
      </c>
      <c r="B44" s="18" t="s">
        <v>382</v>
      </c>
      <c r="C44" s="42" t="s">
        <v>141</v>
      </c>
      <c r="D44" s="43" t="s">
        <v>423</v>
      </c>
      <c r="E44" s="42" t="s">
        <v>90</v>
      </c>
      <c r="F44" s="20" t="s">
        <v>355</v>
      </c>
      <c r="G44" s="20" t="s">
        <v>424</v>
      </c>
      <c r="H44" s="20" t="s">
        <v>145</v>
      </c>
      <c r="I44" s="20" t="s">
        <v>146</v>
      </c>
      <c r="J44" s="20" t="s">
        <v>386</v>
      </c>
      <c r="K44" s="20" t="s">
        <v>96</v>
      </c>
      <c r="L44" s="20" t="s">
        <v>97</v>
      </c>
      <c r="M44" s="20" t="s">
        <v>98</v>
      </c>
      <c r="N44" s="20" t="s">
        <v>147</v>
      </c>
      <c r="O44" s="20" t="s">
        <v>148</v>
      </c>
      <c r="P44" s="20" t="s">
        <v>149</v>
      </c>
      <c r="Q44" s="20" t="s">
        <v>150</v>
      </c>
      <c r="R44" s="20" t="s">
        <v>151</v>
      </c>
      <c r="S44" s="20" t="s">
        <v>152</v>
      </c>
      <c r="T44" s="20" t="s">
        <v>153</v>
      </c>
      <c r="U44" s="20" t="s">
        <v>154</v>
      </c>
      <c r="V44" s="21" t="s">
        <v>155</v>
      </c>
      <c r="W44" s="21" t="s">
        <v>108</v>
      </c>
      <c r="X44" s="21" t="s">
        <v>164</v>
      </c>
      <c r="Y44" s="21" t="s">
        <v>425</v>
      </c>
      <c r="Z44" s="21" t="s">
        <v>111</v>
      </c>
      <c r="AA44" s="21" t="s">
        <v>166</v>
      </c>
      <c r="AB44" s="21" t="s">
        <v>426</v>
      </c>
      <c r="AC44" s="21" t="s">
        <v>427</v>
      </c>
      <c r="AE44" s="23" t="s">
        <v>115</v>
      </c>
      <c r="AF44" s="44"/>
      <c r="AG44" s="23" t="s">
        <v>116</v>
      </c>
      <c r="AH44" s="44"/>
      <c r="AI44" s="25" t="s">
        <v>117</v>
      </c>
      <c r="AJ44" s="44"/>
      <c r="AK44" s="25" t="s">
        <v>117</v>
      </c>
      <c r="AL44" s="22">
        <v>0</v>
      </c>
      <c r="AM44" s="23" t="s">
        <v>115</v>
      </c>
      <c r="AN44" s="44"/>
      <c r="AO44" s="25" t="s">
        <v>117</v>
      </c>
      <c r="AP44" s="45" t="s">
        <v>118</v>
      </c>
      <c r="AQ44" s="23" t="s">
        <v>115</v>
      </c>
      <c r="AR44" s="46"/>
      <c r="AS44" s="23" t="s">
        <v>117</v>
      </c>
      <c r="AT44" s="45" t="s">
        <v>118</v>
      </c>
      <c r="AU44" s="23" t="s">
        <v>116</v>
      </c>
      <c r="AV44" s="45" t="s">
        <v>118</v>
      </c>
      <c r="AW44" s="23" t="s">
        <v>115</v>
      </c>
      <c r="AX44" s="45" t="s">
        <v>118</v>
      </c>
      <c r="AY44" s="23" t="s">
        <v>115</v>
      </c>
      <c r="AZ44" s="45" t="s">
        <v>118</v>
      </c>
      <c r="BA44" s="23" t="s">
        <v>115</v>
      </c>
      <c r="BB44" s="46"/>
      <c r="BC44" s="23" t="s">
        <v>115</v>
      </c>
      <c r="BD44" s="45" t="s">
        <v>118</v>
      </c>
      <c r="BE44" s="23" t="s">
        <v>115</v>
      </c>
      <c r="BF44" s="45" t="s">
        <v>118</v>
      </c>
      <c r="BG44" s="23" t="s">
        <v>115</v>
      </c>
      <c r="BH44" s="46"/>
      <c r="BI44" s="25" t="s">
        <v>117</v>
      </c>
      <c r="BJ44" s="46"/>
      <c r="BK44" s="25" t="s">
        <v>117</v>
      </c>
      <c r="BL44" s="46"/>
      <c r="BM44" s="25" t="s">
        <v>117</v>
      </c>
      <c r="BN44" s="46"/>
      <c r="BO44" s="25" t="s">
        <v>117</v>
      </c>
      <c r="BP44" s="46"/>
      <c r="BQ44" s="25" t="s">
        <v>117</v>
      </c>
      <c r="BR44" s="47">
        <v>10000</v>
      </c>
      <c r="BS44" s="25" t="s">
        <v>115</v>
      </c>
      <c r="BT44" s="46"/>
      <c r="BU44" s="25" t="s">
        <v>117</v>
      </c>
      <c r="BV44" s="46"/>
      <c r="BW44" s="25" t="s">
        <v>117</v>
      </c>
      <c r="BX44" s="46"/>
      <c r="BY44" s="25" t="s">
        <v>117</v>
      </c>
      <c r="BZ44" s="46"/>
      <c r="CA44" s="25" t="s">
        <v>117</v>
      </c>
      <c r="CB44" s="45" t="s">
        <v>159</v>
      </c>
      <c r="CC44" s="25" t="s">
        <v>116</v>
      </c>
      <c r="CD44" s="46"/>
      <c r="CE44" s="25" t="s">
        <v>117</v>
      </c>
      <c r="CF44" s="46"/>
      <c r="CG44" s="25" t="s">
        <v>117</v>
      </c>
      <c r="CH44" s="151">
        <v>5000</v>
      </c>
      <c r="CI44" s="25" t="s">
        <v>116</v>
      </c>
      <c r="CJ44" s="151">
        <v>2500</v>
      </c>
      <c r="CK44" s="48" t="s">
        <v>116</v>
      </c>
      <c r="CL44" s="46">
        <v>1500</v>
      </c>
      <c r="CM44" s="48" t="s">
        <v>116</v>
      </c>
      <c r="CN44" s="46">
        <v>1500</v>
      </c>
      <c r="CO44" s="25" t="s">
        <v>116</v>
      </c>
      <c r="CP44" s="30">
        <v>400</v>
      </c>
      <c r="CQ44" s="23" t="s">
        <v>115</v>
      </c>
      <c r="CR44" s="32"/>
      <c r="CS44" s="23" t="s">
        <v>117</v>
      </c>
      <c r="CT44" s="32"/>
      <c r="CU44" s="23" t="s">
        <v>117</v>
      </c>
      <c r="CV44" s="32"/>
      <c r="CW44" s="23" t="s">
        <v>117</v>
      </c>
      <c r="CX44" s="32"/>
      <c r="CY44" s="25" t="s">
        <v>117</v>
      </c>
      <c r="CZ44" s="32"/>
      <c r="DA44" s="25" t="s">
        <v>117</v>
      </c>
      <c r="DB44" s="33" t="s">
        <v>120</v>
      </c>
      <c r="DC44" s="25" t="s">
        <v>116</v>
      </c>
      <c r="DD44" s="34">
        <f t="shared" si="7"/>
        <v>1193</v>
      </c>
      <c r="DE44" t="s">
        <v>428</v>
      </c>
      <c r="DF44" t="str">
        <f t="shared" si="1"/>
        <v>Barbados#Fund#Barbados LP</v>
      </c>
      <c r="DG44" t="b">
        <f t="shared" si="8"/>
        <v>1</v>
      </c>
    </row>
    <row r="45" spans="1:111" ht="78.75" customHeight="1" x14ac:dyDescent="0.35">
      <c r="A45" s="35" t="s">
        <v>381</v>
      </c>
      <c r="B45" s="18" t="s">
        <v>382</v>
      </c>
      <c r="C45" s="35" t="s">
        <v>141</v>
      </c>
      <c r="D45" s="36" t="s">
        <v>429</v>
      </c>
      <c r="E45" s="35" t="s">
        <v>90</v>
      </c>
      <c r="F45" s="20" t="s">
        <v>171</v>
      </c>
      <c r="G45" s="20" t="s">
        <v>430</v>
      </c>
      <c r="H45" s="20" t="s">
        <v>145</v>
      </c>
      <c r="I45" s="20" t="s">
        <v>146</v>
      </c>
      <c r="J45" s="20" t="s">
        <v>386</v>
      </c>
      <c r="K45" s="20" t="s">
        <v>96</v>
      </c>
      <c r="L45" s="20" t="s">
        <v>97</v>
      </c>
      <c r="M45" s="20" t="s">
        <v>98</v>
      </c>
      <c r="N45" s="20" t="s">
        <v>147</v>
      </c>
      <c r="O45" s="20" t="s">
        <v>148</v>
      </c>
      <c r="P45" s="20" t="s">
        <v>149</v>
      </c>
      <c r="Q45" s="20" t="s">
        <v>150</v>
      </c>
      <c r="R45" s="20" t="s">
        <v>151</v>
      </c>
      <c r="S45" s="20" t="s">
        <v>152</v>
      </c>
      <c r="T45" s="20" t="s">
        <v>153</v>
      </c>
      <c r="U45" s="20" t="s">
        <v>154</v>
      </c>
      <c r="V45" s="21" t="s">
        <v>155</v>
      </c>
      <c r="W45" s="21" t="s">
        <v>108</v>
      </c>
      <c r="X45" s="21" t="s">
        <v>109</v>
      </c>
      <c r="Y45" s="21" t="s">
        <v>415</v>
      </c>
      <c r="Z45" s="21" t="s">
        <v>111</v>
      </c>
      <c r="AA45" s="21" t="s">
        <v>173</v>
      </c>
      <c r="AB45" s="21" t="s">
        <v>431</v>
      </c>
      <c r="AC45" s="21" t="s">
        <v>432</v>
      </c>
      <c r="AE45" s="23" t="s">
        <v>115</v>
      </c>
      <c r="AF45" s="38"/>
      <c r="AG45" s="23" t="s">
        <v>116</v>
      </c>
      <c r="AH45" s="38"/>
      <c r="AI45" s="25" t="s">
        <v>117</v>
      </c>
      <c r="AJ45" s="38"/>
      <c r="AK45" s="25" t="s">
        <v>117</v>
      </c>
      <c r="AL45" s="22">
        <v>0</v>
      </c>
      <c r="AM45" s="23" t="s">
        <v>115</v>
      </c>
      <c r="AN45" s="38"/>
      <c r="AO45" s="25" t="s">
        <v>117</v>
      </c>
      <c r="AP45" s="39" t="s">
        <v>118</v>
      </c>
      <c r="AQ45" s="23" t="s">
        <v>115</v>
      </c>
      <c r="AR45" s="40"/>
      <c r="AS45" s="23" t="s">
        <v>117</v>
      </c>
      <c r="AT45" s="39" t="s">
        <v>118</v>
      </c>
      <c r="AU45" s="23" t="s">
        <v>116</v>
      </c>
      <c r="AV45" s="39" t="s">
        <v>118</v>
      </c>
      <c r="AW45" s="23" t="s">
        <v>115</v>
      </c>
      <c r="AX45" s="39" t="s">
        <v>118</v>
      </c>
      <c r="AY45" s="23" t="s">
        <v>115</v>
      </c>
      <c r="AZ45" s="39" t="s">
        <v>118</v>
      </c>
      <c r="BA45" s="23" t="s">
        <v>115</v>
      </c>
      <c r="BB45" s="40"/>
      <c r="BC45" s="23" t="s">
        <v>115</v>
      </c>
      <c r="BD45" s="39" t="s">
        <v>118</v>
      </c>
      <c r="BE45" s="23" t="s">
        <v>115</v>
      </c>
      <c r="BF45" s="39" t="s">
        <v>118</v>
      </c>
      <c r="BG45" s="23" t="s">
        <v>115</v>
      </c>
      <c r="BH45" s="40"/>
      <c r="BI45" s="25" t="s">
        <v>117</v>
      </c>
      <c r="BJ45" s="40"/>
      <c r="BK45" s="25" t="s">
        <v>117</v>
      </c>
      <c r="BL45" s="40"/>
      <c r="BM45" s="25" t="s">
        <v>117</v>
      </c>
      <c r="BN45" s="40"/>
      <c r="BO45" s="25" t="s">
        <v>117</v>
      </c>
      <c r="BP45" s="40"/>
      <c r="BQ45" s="25" t="s">
        <v>117</v>
      </c>
      <c r="BR45" s="37">
        <v>10000</v>
      </c>
      <c r="BS45" s="25" t="s">
        <v>115</v>
      </c>
      <c r="BT45" s="40"/>
      <c r="BU45" s="25" t="s">
        <v>117</v>
      </c>
      <c r="BV45" s="40"/>
      <c r="BW45" s="25" t="s">
        <v>117</v>
      </c>
      <c r="BX45" s="40"/>
      <c r="BY45" s="25" t="s">
        <v>117</v>
      </c>
      <c r="BZ45" s="46"/>
      <c r="CA45" s="25" t="s">
        <v>117</v>
      </c>
      <c r="CB45" s="45" t="s">
        <v>159</v>
      </c>
      <c r="CC45" s="25" t="s">
        <v>116</v>
      </c>
      <c r="CD45" s="40"/>
      <c r="CE45" s="25" t="s">
        <v>117</v>
      </c>
      <c r="CF45" s="40"/>
      <c r="CG45" s="25" t="s">
        <v>117</v>
      </c>
      <c r="CH45" s="151">
        <v>5000</v>
      </c>
      <c r="CI45" s="25" t="s">
        <v>116</v>
      </c>
      <c r="CJ45" s="151">
        <v>2500</v>
      </c>
      <c r="CK45" s="48" t="s">
        <v>116</v>
      </c>
      <c r="CL45" s="46">
        <v>1500</v>
      </c>
      <c r="CM45" s="48" t="s">
        <v>116</v>
      </c>
      <c r="CN45" s="46">
        <v>1500</v>
      </c>
      <c r="CO45" s="25" t="s">
        <v>116</v>
      </c>
      <c r="CP45" s="30">
        <v>400</v>
      </c>
      <c r="CQ45" s="23" t="s">
        <v>115</v>
      </c>
      <c r="CR45" s="32"/>
      <c r="CS45" s="23" t="s">
        <v>117</v>
      </c>
      <c r="CT45" s="32"/>
      <c r="CU45" s="23" t="s">
        <v>117</v>
      </c>
      <c r="CV45" s="32"/>
      <c r="CW45" s="23" t="s">
        <v>117</v>
      </c>
      <c r="CX45" s="32"/>
      <c r="CY45" s="25" t="s">
        <v>117</v>
      </c>
      <c r="CZ45" s="32"/>
      <c r="DA45" s="25" t="s">
        <v>117</v>
      </c>
      <c r="DB45" s="33" t="s">
        <v>120</v>
      </c>
      <c r="DC45" s="25" t="s">
        <v>116</v>
      </c>
      <c r="DD45" s="34">
        <f t="shared" si="7"/>
        <v>1193</v>
      </c>
      <c r="DE45" t="s">
        <v>433</v>
      </c>
      <c r="DF45" t="str">
        <f t="shared" si="1"/>
        <v>Barbados#Fund#Barbados Unit Trust</v>
      </c>
      <c r="DG45" t="b">
        <f t="shared" si="8"/>
        <v>1</v>
      </c>
    </row>
    <row r="46" spans="1:111" ht="78.75" customHeight="1" x14ac:dyDescent="0.35">
      <c r="A46" s="18" t="s">
        <v>381</v>
      </c>
      <c r="B46" s="18" t="s">
        <v>382</v>
      </c>
      <c r="C46" s="18" t="s">
        <v>141</v>
      </c>
      <c r="D46" s="19" t="s">
        <v>399</v>
      </c>
      <c r="E46" s="18" t="s">
        <v>90</v>
      </c>
      <c r="F46" s="20" t="s">
        <v>400</v>
      </c>
      <c r="G46" s="20" t="s">
        <v>434</v>
      </c>
      <c r="H46" s="20" t="s">
        <v>145</v>
      </c>
      <c r="I46" s="20" t="s">
        <v>146</v>
      </c>
      <c r="J46" s="20" t="s">
        <v>386</v>
      </c>
      <c r="K46" s="20" t="s">
        <v>96</v>
      </c>
      <c r="L46" s="20" t="s">
        <v>97</v>
      </c>
      <c r="M46" s="20" t="s">
        <v>98</v>
      </c>
      <c r="N46" s="20" t="s">
        <v>147</v>
      </c>
      <c r="O46" s="20" t="s">
        <v>148</v>
      </c>
      <c r="P46" s="20" t="s">
        <v>149</v>
      </c>
      <c r="Q46" s="20" t="s">
        <v>150</v>
      </c>
      <c r="R46" s="20" t="s">
        <v>151</v>
      </c>
      <c r="S46" s="20" t="s">
        <v>152</v>
      </c>
      <c r="T46" s="20" t="s">
        <v>153</v>
      </c>
      <c r="U46" s="20" t="s">
        <v>154</v>
      </c>
      <c r="V46" s="21" t="s">
        <v>180</v>
      </c>
      <c r="W46" s="21" t="s">
        <v>108</v>
      </c>
      <c r="X46" s="21" t="s">
        <v>181</v>
      </c>
      <c r="Y46" s="21" t="s">
        <v>435</v>
      </c>
      <c r="Z46" s="21" t="s">
        <v>111</v>
      </c>
      <c r="AA46" s="21" t="s">
        <v>112</v>
      </c>
      <c r="AB46" s="21" t="s">
        <v>436</v>
      </c>
      <c r="AC46" s="21" t="s">
        <v>437</v>
      </c>
      <c r="AE46" s="23" t="s">
        <v>115</v>
      </c>
      <c r="AF46" s="24"/>
      <c r="AG46" s="23" t="s">
        <v>116</v>
      </c>
      <c r="AH46" s="24"/>
      <c r="AI46" s="25" t="s">
        <v>117</v>
      </c>
      <c r="AJ46" s="24"/>
      <c r="AK46" s="25" t="s">
        <v>117</v>
      </c>
      <c r="AL46" s="22">
        <v>0</v>
      </c>
      <c r="AM46" s="23" t="s">
        <v>115</v>
      </c>
      <c r="AN46" s="24"/>
      <c r="AO46" s="25" t="s">
        <v>117</v>
      </c>
      <c r="AP46" s="22">
        <v>3080</v>
      </c>
      <c r="AQ46" s="23" t="s">
        <v>115</v>
      </c>
      <c r="AR46" s="24"/>
      <c r="AS46" s="23" t="s">
        <v>117</v>
      </c>
      <c r="AT46" s="22">
        <v>4240</v>
      </c>
      <c r="AU46" s="23" t="s">
        <v>116</v>
      </c>
      <c r="AV46" s="22">
        <v>2960</v>
      </c>
      <c r="AW46" s="23" t="s">
        <v>115</v>
      </c>
      <c r="AX46" s="27" t="s">
        <v>118</v>
      </c>
      <c r="AY46" s="23" t="s">
        <v>115</v>
      </c>
      <c r="AZ46" s="22">
        <v>500</v>
      </c>
      <c r="BA46" s="23" t="s">
        <v>115</v>
      </c>
      <c r="BB46" s="24"/>
      <c r="BC46" s="23" t="s">
        <v>115</v>
      </c>
      <c r="BD46" s="27" t="s">
        <v>118</v>
      </c>
      <c r="BE46" s="23" t="s">
        <v>115</v>
      </c>
      <c r="BF46" s="22">
        <v>1100</v>
      </c>
      <c r="BG46" s="23" t="s">
        <v>115</v>
      </c>
      <c r="BH46" s="24"/>
      <c r="BI46" s="25" t="s">
        <v>117</v>
      </c>
      <c r="BJ46" s="24"/>
      <c r="BK46" s="25" t="s">
        <v>117</v>
      </c>
      <c r="BL46" s="24"/>
      <c r="BM46" s="25" t="s">
        <v>117</v>
      </c>
      <c r="BN46" s="24"/>
      <c r="BO46" s="25" t="s">
        <v>117</v>
      </c>
      <c r="BP46" s="24"/>
      <c r="BQ46" s="25" t="s">
        <v>117</v>
      </c>
      <c r="BR46" s="22">
        <v>5330</v>
      </c>
      <c r="BS46" s="25" t="s">
        <v>115</v>
      </c>
      <c r="BT46" s="24"/>
      <c r="BU46" s="25" t="s">
        <v>117</v>
      </c>
      <c r="BV46" s="24"/>
      <c r="BW46" s="25" t="s">
        <v>117</v>
      </c>
      <c r="BX46" s="24"/>
      <c r="BY46" s="25" t="s">
        <v>117</v>
      </c>
      <c r="BZ46" s="46"/>
      <c r="CA46" s="25" t="s">
        <v>117</v>
      </c>
      <c r="CB46" s="45" t="s">
        <v>159</v>
      </c>
      <c r="CC46" s="25" t="s">
        <v>116</v>
      </c>
      <c r="CD46" s="24"/>
      <c r="CE46" s="25" t="s">
        <v>117</v>
      </c>
      <c r="CF46" s="24"/>
      <c r="CG46" s="25" t="s">
        <v>117</v>
      </c>
      <c r="CH46" s="151">
        <v>5000</v>
      </c>
      <c r="CI46" s="25" t="s">
        <v>116</v>
      </c>
      <c r="CJ46" s="151">
        <v>2500</v>
      </c>
      <c r="CK46" s="48" t="s">
        <v>116</v>
      </c>
      <c r="CL46" s="46">
        <v>1500</v>
      </c>
      <c r="CM46" s="48" t="s">
        <v>116</v>
      </c>
      <c r="CN46" s="46">
        <v>1500</v>
      </c>
      <c r="CO46" s="25" t="s">
        <v>116</v>
      </c>
      <c r="CP46" s="30">
        <v>400</v>
      </c>
      <c r="CQ46" s="23" t="s">
        <v>115</v>
      </c>
      <c r="CR46" s="32"/>
      <c r="CS46" s="23" t="s">
        <v>117</v>
      </c>
      <c r="CT46" s="32"/>
      <c r="CU46" s="23" t="s">
        <v>117</v>
      </c>
      <c r="CV46" s="32"/>
      <c r="CW46" s="23" t="s">
        <v>117</v>
      </c>
      <c r="CX46" s="32"/>
      <c r="CY46" s="25" t="s">
        <v>117</v>
      </c>
      <c r="CZ46" s="32"/>
      <c r="DA46" s="25" t="s">
        <v>117</v>
      </c>
      <c r="DB46" s="33" t="s">
        <v>120</v>
      </c>
      <c r="DC46" s="25" t="s">
        <v>116</v>
      </c>
      <c r="DD46" s="34">
        <f t="shared" si="7"/>
        <v>1651</v>
      </c>
      <c r="DE46" t="s">
        <v>438</v>
      </c>
      <c r="DF46" t="str">
        <f t="shared" si="1"/>
        <v>Barbados#Fund#Barbados SCC</v>
      </c>
      <c r="DG46" t="b">
        <f t="shared" si="8"/>
        <v>1</v>
      </c>
    </row>
    <row r="47" spans="1:111" ht="78.75" hidden="1" customHeight="1" x14ac:dyDescent="0.35">
      <c r="A47" s="18" t="s">
        <v>381</v>
      </c>
      <c r="B47" s="18"/>
      <c r="C47" s="18" t="s">
        <v>88</v>
      </c>
      <c r="D47" s="19" t="s">
        <v>439</v>
      </c>
      <c r="E47" s="18" t="s">
        <v>90</v>
      </c>
      <c r="F47" s="20" t="s">
        <v>440</v>
      </c>
      <c r="G47" s="20" t="s">
        <v>441</v>
      </c>
      <c r="H47" s="20" t="s">
        <v>126</v>
      </c>
      <c r="I47" s="20" t="s">
        <v>442</v>
      </c>
      <c r="J47" s="20" t="s">
        <v>386</v>
      </c>
      <c r="K47" s="20" t="s">
        <v>96</v>
      </c>
      <c r="L47" s="20" t="s">
        <v>97</v>
      </c>
      <c r="M47" s="20" t="s">
        <v>98</v>
      </c>
      <c r="N47" s="20" t="s">
        <v>443</v>
      </c>
      <c r="O47" s="20" t="s">
        <v>444</v>
      </c>
      <c r="P47" s="20" t="s">
        <v>445</v>
      </c>
      <c r="Q47" s="20" t="s">
        <v>446</v>
      </c>
      <c r="R47" s="20" t="s">
        <v>447</v>
      </c>
      <c r="S47" s="20" t="s">
        <v>448</v>
      </c>
      <c r="T47" s="20" t="s">
        <v>449</v>
      </c>
      <c r="U47" s="20" t="s">
        <v>450</v>
      </c>
      <c r="V47" s="21" t="s">
        <v>451</v>
      </c>
      <c r="W47" s="21" t="s">
        <v>108</v>
      </c>
      <c r="X47" s="21" t="s">
        <v>452</v>
      </c>
      <c r="Y47" s="21" t="s">
        <v>453</v>
      </c>
      <c r="Z47" s="21" t="s">
        <v>256</v>
      </c>
      <c r="AA47" s="21" t="s">
        <v>112</v>
      </c>
      <c r="AB47" s="21" t="s">
        <v>454</v>
      </c>
      <c r="AC47" s="21" t="s">
        <v>455</v>
      </c>
      <c r="AD47" s="22">
        <v>5330</v>
      </c>
      <c r="AE47" s="23" t="s">
        <v>115</v>
      </c>
      <c r="AF47" s="24"/>
      <c r="AG47" s="23" t="s">
        <v>117</v>
      </c>
      <c r="AH47" s="24"/>
      <c r="AI47" s="25" t="s">
        <v>117</v>
      </c>
      <c r="AJ47" s="24"/>
      <c r="AK47" s="25" t="s">
        <v>117</v>
      </c>
      <c r="AL47" s="22"/>
      <c r="AM47" s="23" t="s">
        <v>117</v>
      </c>
      <c r="AN47" s="24"/>
      <c r="AO47" s="25" t="s">
        <v>117</v>
      </c>
      <c r="AP47" s="26">
        <v>3080</v>
      </c>
      <c r="AQ47" s="23" t="s">
        <v>115</v>
      </c>
      <c r="AR47" s="24"/>
      <c r="AS47" s="23" t="s">
        <v>117</v>
      </c>
      <c r="AT47" s="27">
        <v>4240</v>
      </c>
      <c r="AU47" s="23" t="s">
        <v>116</v>
      </c>
      <c r="AV47" s="22">
        <v>2960</v>
      </c>
      <c r="AW47" s="23">
        <v>0</v>
      </c>
      <c r="AX47" s="22"/>
      <c r="AY47" s="23" t="s">
        <v>117</v>
      </c>
      <c r="AZ47" s="26">
        <v>1500</v>
      </c>
      <c r="BA47" s="23" t="s">
        <v>115</v>
      </c>
      <c r="BB47" s="24"/>
      <c r="BC47" s="23" t="s">
        <v>117</v>
      </c>
      <c r="BD47" s="27">
        <v>800</v>
      </c>
      <c r="BE47" s="23" t="s">
        <v>116</v>
      </c>
      <c r="BF47" s="27">
        <v>750</v>
      </c>
      <c r="BG47" s="23" t="s">
        <v>116</v>
      </c>
      <c r="BH47" s="28"/>
      <c r="BI47" s="25" t="s">
        <v>117</v>
      </c>
      <c r="BJ47" s="28"/>
      <c r="BK47" s="25" t="s">
        <v>117</v>
      </c>
      <c r="BL47" s="28"/>
      <c r="BM47" s="25" t="s">
        <v>117</v>
      </c>
      <c r="BN47" s="28"/>
      <c r="BO47" s="25" t="s">
        <v>117</v>
      </c>
      <c r="BP47" s="28"/>
      <c r="BQ47" s="25" t="s">
        <v>117</v>
      </c>
      <c r="BR47" s="28"/>
      <c r="BS47" s="25" t="s">
        <v>117</v>
      </c>
      <c r="BT47" s="28"/>
      <c r="BU47" s="25" t="s">
        <v>117</v>
      </c>
      <c r="BV47" s="28"/>
      <c r="BW47" s="25" t="s">
        <v>117</v>
      </c>
      <c r="BX47" s="28"/>
      <c r="BY47" s="25" t="s">
        <v>117</v>
      </c>
      <c r="BZ47" s="28"/>
      <c r="CA47" s="25" t="s">
        <v>117</v>
      </c>
      <c r="CB47" s="28"/>
      <c r="CC47" s="25" t="s">
        <v>117</v>
      </c>
      <c r="CD47" s="28"/>
      <c r="CE47" s="25" t="s">
        <v>117</v>
      </c>
      <c r="CF47" s="28"/>
      <c r="CG47" s="25" t="s">
        <v>117</v>
      </c>
      <c r="CH47" s="28"/>
      <c r="CI47" s="25"/>
      <c r="CJ47" s="28"/>
      <c r="CK47" s="29" t="s">
        <v>117</v>
      </c>
      <c r="CL47" s="28"/>
      <c r="CM47" s="29" t="s">
        <v>117</v>
      </c>
      <c r="CN47" s="28"/>
      <c r="CO47" s="25" t="s">
        <v>117</v>
      </c>
      <c r="CP47" s="30"/>
      <c r="CQ47" s="23" t="s">
        <v>117</v>
      </c>
      <c r="CR47" s="30"/>
      <c r="CS47" s="23" t="s">
        <v>117</v>
      </c>
      <c r="CT47" s="30"/>
      <c r="CU47" s="23" t="s">
        <v>117</v>
      </c>
      <c r="CV47" s="31"/>
      <c r="CW47" s="23" t="s">
        <v>117</v>
      </c>
      <c r="CX47" s="32"/>
      <c r="CY47" s="25" t="s">
        <v>117</v>
      </c>
      <c r="CZ47" s="32"/>
      <c r="DA47" s="25" t="s">
        <v>117</v>
      </c>
      <c r="DB47" s="33" t="s">
        <v>456</v>
      </c>
      <c r="DC47" s="25" t="s">
        <v>116</v>
      </c>
      <c r="DD47" s="34">
        <f t="shared" si="7"/>
        <v>1283</v>
      </c>
      <c r="DE47" t="s">
        <v>457</v>
      </c>
      <c r="DF47" t="str">
        <f t="shared" si="1"/>
        <v>Barbados#Company#Barbados External Company</v>
      </c>
      <c r="DG47" t="b">
        <f t="shared" si="8"/>
        <v>1</v>
      </c>
    </row>
    <row r="48" spans="1:111" ht="14.25" hidden="1" customHeight="1" x14ac:dyDescent="0.35">
      <c r="A48" s="184" t="s">
        <v>458</v>
      </c>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184"/>
      <c r="AH48" s="184"/>
      <c r="AI48" s="184"/>
      <c r="AJ48" s="184"/>
      <c r="AK48" s="184"/>
      <c r="AL48" s="184"/>
      <c r="AM48" s="184"/>
      <c r="AN48" s="184"/>
      <c r="AO48" s="184"/>
      <c r="AP48" s="184"/>
      <c r="AQ48" s="184"/>
      <c r="AR48" s="184"/>
      <c r="AS48" s="184"/>
      <c r="AT48" s="184"/>
      <c r="AU48" s="184"/>
      <c r="AV48" s="184"/>
      <c r="AW48" s="184"/>
      <c r="AX48" s="184"/>
      <c r="AY48" s="184"/>
      <c r="AZ48" s="184"/>
      <c r="BA48" s="184"/>
      <c r="BB48" s="184"/>
      <c r="BC48" s="184"/>
      <c r="BD48" s="184"/>
      <c r="BE48" s="184"/>
      <c r="BF48" s="184"/>
      <c r="BG48" s="184"/>
      <c r="BH48" s="184"/>
      <c r="BI48" s="184"/>
      <c r="BJ48" s="184"/>
      <c r="BK48" s="184"/>
      <c r="BL48" s="184"/>
      <c r="BM48" s="184"/>
      <c r="BN48" s="184"/>
      <c r="BO48" s="184"/>
      <c r="BP48" s="184"/>
      <c r="BQ48" s="184"/>
      <c r="BR48" s="184"/>
      <c r="BS48" s="184"/>
      <c r="BT48" s="184"/>
      <c r="BU48" s="184"/>
      <c r="BV48" s="184"/>
      <c r="BW48" s="184"/>
      <c r="BX48" s="184"/>
      <c r="BY48" s="184"/>
      <c r="BZ48" s="184"/>
      <c r="CA48" s="184"/>
      <c r="CB48" s="184"/>
      <c r="CC48" s="184"/>
      <c r="CD48" s="184"/>
      <c r="CE48" s="184"/>
      <c r="CF48" s="184"/>
      <c r="CG48" s="184"/>
      <c r="CH48" s="184"/>
      <c r="CI48" s="184"/>
      <c r="CJ48" s="184"/>
      <c r="CK48" s="184"/>
      <c r="CL48" s="184"/>
      <c r="CM48" s="184"/>
      <c r="CN48" s="184"/>
      <c r="CO48" s="184"/>
      <c r="CP48" s="184"/>
      <c r="CQ48" s="184"/>
      <c r="CR48" s="184"/>
      <c r="CS48" s="184"/>
      <c r="CT48" s="184"/>
      <c r="CU48" s="184"/>
      <c r="CV48" s="184"/>
      <c r="CW48" s="184"/>
      <c r="CX48" s="184"/>
      <c r="CY48" s="184"/>
      <c r="CZ48" s="184"/>
      <c r="DA48" s="184"/>
      <c r="DB48" s="184"/>
      <c r="DC48" s="184"/>
    </row>
    <row r="49" spans="1:111" ht="78.75" hidden="1" customHeight="1" x14ac:dyDescent="0.35">
      <c r="A49" s="18" t="s">
        <v>459</v>
      </c>
      <c r="B49" s="18"/>
      <c r="C49" s="18" t="s">
        <v>460</v>
      </c>
      <c r="D49" s="19" t="s">
        <v>461</v>
      </c>
      <c r="E49" s="18" t="s">
        <v>90</v>
      </c>
      <c r="F49" s="20" t="s">
        <v>462</v>
      </c>
      <c r="G49" s="20" t="s">
        <v>463</v>
      </c>
      <c r="H49" s="20" t="s">
        <v>93</v>
      </c>
      <c r="I49" s="20" t="s">
        <v>464</v>
      </c>
      <c r="J49" s="20" t="s">
        <v>465</v>
      </c>
      <c r="K49" s="20" t="s">
        <v>96</v>
      </c>
      <c r="L49" s="20" t="s">
        <v>97</v>
      </c>
      <c r="M49" s="20" t="s">
        <v>98</v>
      </c>
      <c r="N49" s="20" t="s">
        <v>466</v>
      </c>
      <c r="O49" s="20" t="s">
        <v>467</v>
      </c>
      <c r="P49" s="20" t="s">
        <v>468</v>
      </c>
      <c r="Q49" s="20" t="s">
        <v>469</v>
      </c>
      <c r="R49" s="20" t="s">
        <v>470</v>
      </c>
      <c r="S49" s="20" t="s">
        <v>471</v>
      </c>
      <c r="T49" s="20" t="s">
        <v>472</v>
      </c>
      <c r="U49" s="20" t="s">
        <v>473</v>
      </c>
      <c r="V49" s="21" t="s">
        <v>474</v>
      </c>
      <c r="W49" s="21" t="s">
        <v>108</v>
      </c>
      <c r="X49" s="21" t="s">
        <v>475</v>
      </c>
      <c r="Y49" s="21" t="s">
        <v>476</v>
      </c>
      <c r="Z49" s="21" t="s">
        <v>477</v>
      </c>
      <c r="AA49" s="21" t="s">
        <v>166</v>
      </c>
      <c r="AB49" s="21" t="s">
        <v>478</v>
      </c>
      <c r="AC49" s="21" t="s">
        <v>479</v>
      </c>
      <c r="AD49" s="22">
        <v>9540</v>
      </c>
      <c r="AE49" s="23" t="s">
        <v>115</v>
      </c>
      <c r="AF49" s="24"/>
      <c r="AG49" s="23" t="s">
        <v>117</v>
      </c>
      <c r="AH49" s="24"/>
      <c r="AI49" s="25" t="s">
        <v>117</v>
      </c>
      <c r="AJ49" s="24"/>
      <c r="AK49" s="25" t="s">
        <v>117</v>
      </c>
      <c r="AL49" s="22"/>
      <c r="AM49" s="23" t="s">
        <v>117</v>
      </c>
      <c r="AN49" s="24"/>
      <c r="AO49" s="25" t="s">
        <v>117</v>
      </c>
      <c r="AP49" s="26"/>
      <c r="AQ49" s="23" t="s">
        <v>117</v>
      </c>
      <c r="AR49" s="24"/>
      <c r="AS49" s="23" t="s">
        <v>117</v>
      </c>
      <c r="AT49" s="27"/>
      <c r="AU49" s="23" t="s">
        <v>117</v>
      </c>
      <c r="AV49" s="22">
        <v>1980</v>
      </c>
      <c r="AW49" s="23" t="s">
        <v>115</v>
      </c>
      <c r="AX49" s="22"/>
      <c r="AY49" s="23" t="s">
        <v>117</v>
      </c>
      <c r="AZ49" s="26"/>
      <c r="BA49" s="23" t="s">
        <v>117</v>
      </c>
      <c r="BB49" s="24"/>
      <c r="BC49" s="23" t="s">
        <v>117</v>
      </c>
      <c r="BD49" s="27">
        <v>1000</v>
      </c>
      <c r="BE49" s="23" t="s">
        <v>116</v>
      </c>
      <c r="BF49" s="27"/>
      <c r="BG49" s="23" t="s">
        <v>117</v>
      </c>
      <c r="BH49" s="28"/>
      <c r="BI49" s="25" t="s">
        <v>117</v>
      </c>
      <c r="BJ49" s="28"/>
      <c r="BK49" s="25" t="s">
        <v>117</v>
      </c>
      <c r="BL49" s="28"/>
      <c r="BM49" s="25" t="s">
        <v>117</v>
      </c>
      <c r="BN49" s="28"/>
      <c r="BO49" s="25" t="s">
        <v>117</v>
      </c>
      <c r="BP49" s="28"/>
      <c r="BQ49" s="25" t="s">
        <v>117</v>
      </c>
      <c r="BR49" s="28"/>
      <c r="BS49" s="25" t="s">
        <v>117</v>
      </c>
      <c r="BT49" s="28"/>
      <c r="BU49" s="25" t="s">
        <v>117</v>
      </c>
      <c r="BV49" s="28"/>
      <c r="BW49" s="25" t="s">
        <v>117</v>
      </c>
      <c r="BX49" s="28"/>
      <c r="BY49" s="25" t="s">
        <v>117</v>
      </c>
      <c r="BZ49" s="28"/>
      <c r="CA49" s="25" t="s">
        <v>117</v>
      </c>
      <c r="CB49" s="28"/>
      <c r="CC49" s="25" t="s">
        <v>117</v>
      </c>
      <c r="CD49" s="28"/>
      <c r="CE49" s="25" t="s">
        <v>117</v>
      </c>
      <c r="CF49" s="28"/>
      <c r="CG49" s="25" t="s">
        <v>117</v>
      </c>
      <c r="CH49" s="28"/>
      <c r="CI49" s="25"/>
      <c r="CJ49" s="28"/>
      <c r="CK49" s="29" t="s">
        <v>117</v>
      </c>
      <c r="CL49" s="28"/>
      <c r="CM49" s="29" t="s">
        <v>117</v>
      </c>
      <c r="CN49" s="28"/>
      <c r="CO49" s="25" t="s">
        <v>117</v>
      </c>
      <c r="CP49" s="30"/>
      <c r="CQ49" s="23" t="s">
        <v>117</v>
      </c>
      <c r="CR49" s="30"/>
      <c r="CS49" s="23" t="s">
        <v>117</v>
      </c>
      <c r="CT49" s="30"/>
      <c r="CU49" s="23" t="s">
        <v>117</v>
      </c>
      <c r="CV49" s="31"/>
      <c r="CW49" s="23" t="s">
        <v>117</v>
      </c>
      <c r="CX49" s="32"/>
      <c r="CY49" s="25" t="s">
        <v>117</v>
      </c>
      <c r="CZ49" s="32"/>
      <c r="DA49" s="25" t="s">
        <v>117</v>
      </c>
      <c r="DB49" s="33"/>
      <c r="DC49" s="25" t="s">
        <v>117</v>
      </c>
      <c r="DD49" s="34">
        <f>ROUND(0.075*SUM(AD49,AF49,AH49,AJ49,AL49,AN49,AP49,AR49,AT49,AV49,AX49,AZ49,BB49,BR49,BT49,BV49,BX49,BZ49,CB49,CD49,CF49,CJ49,CL49,CN49,CP49,CR49,CT49,CV49,CX49,CZ49),0)</f>
        <v>864</v>
      </c>
      <c r="DE49" t="s">
        <v>480</v>
      </c>
      <c r="DF49" t="str">
        <f>A49&amp;"#"&amp;C49&amp;"#"&amp;D49</f>
        <v>Canada#Partnership#Canada LP</v>
      </c>
      <c r="DG49" t="b">
        <f>DE49=DF49</f>
        <v>1</v>
      </c>
    </row>
    <row r="50" spans="1:111" ht="78.75" hidden="1" customHeight="1" x14ac:dyDescent="0.35">
      <c r="A50" s="184" t="s">
        <v>481</v>
      </c>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c r="AK50" s="184"/>
      <c r="AL50" s="184"/>
      <c r="AM50" s="184"/>
      <c r="AN50" s="184"/>
      <c r="AO50" s="184"/>
      <c r="AP50" s="184"/>
      <c r="AQ50" s="184"/>
      <c r="AR50" s="184"/>
      <c r="AS50" s="184"/>
      <c r="AT50" s="184"/>
      <c r="AU50" s="184"/>
      <c r="AV50" s="184"/>
      <c r="AW50" s="184"/>
      <c r="AX50" s="184"/>
      <c r="AY50" s="184"/>
      <c r="AZ50" s="184"/>
      <c r="BA50" s="184"/>
      <c r="BB50" s="184"/>
      <c r="BC50" s="184"/>
      <c r="BD50" s="184"/>
      <c r="BE50" s="184"/>
      <c r="BF50" s="184"/>
      <c r="BG50" s="184"/>
      <c r="BH50" s="184"/>
      <c r="BI50" s="184"/>
      <c r="BJ50" s="184"/>
      <c r="BK50" s="184"/>
      <c r="BL50" s="184"/>
      <c r="BM50" s="184"/>
      <c r="BN50" s="184"/>
      <c r="BO50" s="184"/>
      <c r="BP50" s="184"/>
      <c r="BQ50" s="184"/>
      <c r="BR50" s="184"/>
      <c r="BS50" s="184"/>
      <c r="BT50" s="184"/>
      <c r="BU50" s="184"/>
      <c r="BV50" s="184"/>
      <c r="BW50" s="184"/>
      <c r="BX50" s="184"/>
      <c r="BY50" s="184"/>
      <c r="BZ50" s="184"/>
      <c r="CA50" s="184"/>
      <c r="CB50" s="184"/>
      <c r="CC50" s="184"/>
      <c r="CD50" s="184"/>
      <c r="CE50" s="184"/>
      <c r="CF50" s="184"/>
      <c r="CG50" s="184"/>
      <c r="CH50" s="184"/>
      <c r="CI50" s="184"/>
      <c r="CJ50" s="184"/>
      <c r="CK50" s="184"/>
      <c r="CL50" s="184"/>
      <c r="CM50" s="184"/>
      <c r="CN50" s="184"/>
      <c r="CO50" s="184"/>
      <c r="CP50" s="184"/>
      <c r="CQ50" s="184"/>
      <c r="CR50" s="184"/>
      <c r="CS50" s="184"/>
      <c r="CT50" s="184"/>
      <c r="CU50" s="184"/>
      <c r="CV50" s="184"/>
      <c r="CW50" s="184"/>
      <c r="CX50" s="184"/>
      <c r="CY50" s="184"/>
      <c r="CZ50" s="184"/>
      <c r="DA50" s="184"/>
      <c r="DB50" s="184"/>
      <c r="DC50" s="184"/>
      <c r="DE50" t="s">
        <v>85</v>
      </c>
      <c r="DF50" t="str">
        <f>A47&amp;"#"&amp;C47&amp;"#"&amp;D47</f>
        <v>Barbados#Company#Barbados External Company</v>
      </c>
    </row>
    <row r="51" spans="1:111" ht="78.75" hidden="1" customHeight="1" x14ac:dyDescent="0.35">
      <c r="A51" s="18" t="s">
        <v>482</v>
      </c>
      <c r="B51" s="18" t="s">
        <v>382</v>
      </c>
      <c r="C51" s="18" t="s">
        <v>88</v>
      </c>
      <c r="D51" s="19" t="s">
        <v>483</v>
      </c>
      <c r="E51" s="18" t="s">
        <v>90</v>
      </c>
      <c r="F51" s="20" t="s">
        <v>484</v>
      </c>
      <c r="G51" s="20" t="s">
        <v>485</v>
      </c>
      <c r="H51" s="20" t="s">
        <v>93</v>
      </c>
      <c r="I51" s="20" t="s">
        <v>94</v>
      </c>
      <c r="J51" s="20" t="s">
        <v>486</v>
      </c>
      <c r="K51" s="20" t="s">
        <v>96</v>
      </c>
      <c r="L51" s="20" t="s">
        <v>97</v>
      </c>
      <c r="M51" s="20" t="s">
        <v>98</v>
      </c>
      <c r="N51" s="20" t="s">
        <v>487</v>
      </c>
      <c r="O51" s="20" t="s">
        <v>100</v>
      </c>
      <c r="P51" s="20" t="s">
        <v>101</v>
      </c>
      <c r="Q51" s="20" t="s">
        <v>102</v>
      </c>
      <c r="R51" s="20" t="s">
        <v>103</v>
      </c>
      <c r="S51" s="20" t="s">
        <v>104</v>
      </c>
      <c r="T51" s="20" t="s">
        <v>105</v>
      </c>
      <c r="U51" s="20" t="s">
        <v>106</v>
      </c>
      <c r="V51" s="21" t="s">
        <v>488</v>
      </c>
      <c r="W51" s="21" t="s">
        <v>108</v>
      </c>
      <c r="X51" s="21" t="s">
        <v>109</v>
      </c>
      <c r="Y51" s="21" t="s">
        <v>489</v>
      </c>
      <c r="Z51" s="21" t="s">
        <v>111</v>
      </c>
      <c r="AA51" s="21" t="s">
        <v>112</v>
      </c>
      <c r="AB51" s="21" t="s">
        <v>490</v>
      </c>
      <c r="AC51" s="21" t="s">
        <v>491</v>
      </c>
      <c r="AD51" s="22">
        <v>2170</v>
      </c>
      <c r="AE51" s="23" t="s">
        <v>115</v>
      </c>
      <c r="AF51" s="24"/>
      <c r="AG51" s="23" t="s">
        <v>116</v>
      </c>
      <c r="AH51" s="24"/>
      <c r="AI51" s="25" t="s">
        <v>117</v>
      </c>
      <c r="AJ51" s="26">
        <v>150</v>
      </c>
      <c r="AK51" s="25" t="s">
        <v>116</v>
      </c>
      <c r="AL51" s="22">
        <v>0</v>
      </c>
      <c r="AM51" s="23" t="s">
        <v>115</v>
      </c>
      <c r="AN51" s="22">
        <v>1500</v>
      </c>
      <c r="AO51" s="25" t="s">
        <v>116</v>
      </c>
      <c r="AP51" s="22">
        <v>2230</v>
      </c>
      <c r="AQ51" s="23" t="s">
        <v>115</v>
      </c>
      <c r="AR51" s="24"/>
      <c r="AS51" s="23" t="s">
        <v>117</v>
      </c>
      <c r="AT51" s="27" t="s">
        <v>118</v>
      </c>
      <c r="AU51" s="23" t="s">
        <v>116</v>
      </c>
      <c r="AV51" s="22">
        <v>1910</v>
      </c>
      <c r="AW51" s="23" t="s">
        <v>116</v>
      </c>
      <c r="AX51" s="22">
        <v>1600</v>
      </c>
      <c r="AY51" s="23" t="s">
        <v>116</v>
      </c>
      <c r="AZ51" s="22">
        <v>1189.93</v>
      </c>
      <c r="BA51" s="23" t="s">
        <v>115</v>
      </c>
      <c r="BB51" s="22">
        <v>182.93</v>
      </c>
      <c r="BC51" s="23" t="s">
        <v>115</v>
      </c>
      <c r="BD51" s="27" t="s">
        <v>118</v>
      </c>
      <c r="BE51" s="23" t="s">
        <v>115</v>
      </c>
      <c r="BF51" s="27" t="s">
        <v>118</v>
      </c>
      <c r="BG51" s="23" t="s">
        <v>115</v>
      </c>
      <c r="BH51" s="28"/>
      <c r="BI51" s="25" t="s">
        <v>117</v>
      </c>
      <c r="BJ51" s="28"/>
      <c r="BK51" s="25" t="s">
        <v>117</v>
      </c>
      <c r="BL51" s="28"/>
      <c r="BM51" s="25" t="s">
        <v>117</v>
      </c>
      <c r="BN51" s="22">
        <v>165</v>
      </c>
      <c r="BO51" s="25" t="s">
        <v>116</v>
      </c>
      <c r="BP51" s="22">
        <v>150</v>
      </c>
      <c r="BQ51" s="25" t="s">
        <v>116</v>
      </c>
      <c r="BR51" s="28"/>
      <c r="BS51" s="25" t="s">
        <v>117</v>
      </c>
      <c r="BT51" s="28"/>
      <c r="BU51" s="25" t="s">
        <v>117</v>
      </c>
      <c r="BV51" s="28"/>
      <c r="BW51" s="25" t="s">
        <v>117</v>
      </c>
      <c r="BX51" s="28"/>
      <c r="BY51" s="25" t="s">
        <v>117</v>
      </c>
      <c r="BZ51" s="28"/>
      <c r="CA51" s="25" t="s">
        <v>117</v>
      </c>
      <c r="CB51" s="28"/>
      <c r="CC51" s="25" t="s">
        <v>117</v>
      </c>
      <c r="CD51" s="28"/>
      <c r="CE51" s="25" t="s">
        <v>117</v>
      </c>
      <c r="CF51" s="28"/>
      <c r="CG51" s="25" t="s">
        <v>117</v>
      </c>
      <c r="CH51" s="28"/>
      <c r="CI51" s="25"/>
      <c r="CJ51" s="28"/>
      <c r="CK51" s="29" t="s">
        <v>117</v>
      </c>
      <c r="CL51" s="28"/>
      <c r="CM51" s="29" t="s">
        <v>117</v>
      </c>
      <c r="CN51" s="28"/>
      <c r="CO51" s="25" t="s">
        <v>117</v>
      </c>
      <c r="CP51" s="30">
        <v>400</v>
      </c>
      <c r="CQ51" s="23" t="s">
        <v>115</v>
      </c>
      <c r="CR51" s="30">
        <v>300</v>
      </c>
      <c r="CS51" s="23" t="s">
        <v>115</v>
      </c>
      <c r="CT51" s="32"/>
      <c r="CU51" s="23" t="s">
        <v>117</v>
      </c>
      <c r="CV51" s="30">
        <v>165</v>
      </c>
      <c r="CW51" s="23" t="s">
        <v>115</v>
      </c>
      <c r="CX51" s="32"/>
      <c r="CY51" s="25" t="s">
        <v>117</v>
      </c>
      <c r="CZ51" s="32"/>
      <c r="DA51" s="25" t="s">
        <v>117</v>
      </c>
      <c r="DB51" s="33" t="s">
        <v>120</v>
      </c>
      <c r="DC51" s="25" t="s">
        <v>116</v>
      </c>
      <c r="DD51" s="34">
        <f t="shared" ref="DD51:DD63" si="9">ROUND(0.075*SUM(AD51,AF51,AH51,AJ51,AL51,AN51,AP51,AR51,AT51,AV51,AX51,AZ51,BB51,BR51,BT51,BV51,BX51,BZ51,CB51,CD51,CF51,CJ51,CL51,CN51,CP51,CR51,CT51,CV51,CX51,CZ51),0)</f>
        <v>885</v>
      </c>
      <c r="DE51" t="s">
        <v>492</v>
      </c>
      <c r="DF51" t="str">
        <f t="shared" ref="DF51:DF63" si="10">A51&amp;"#"&amp;C51&amp;"#"&amp;D51</f>
        <v>Cayman Islands#Company#Cayman Islands EXEMPT</v>
      </c>
      <c r="DG51" t="b">
        <f t="shared" ref="DG51:DG63" si="11">DE51=DF51</f>
        <v>1</v>
      </c>
    </row>
    <row r="52" spans="1:111" ht="78.75" hidden="1" customHeight="1" x14ac:dyDescent="0.35">
      <c r="A52" s="35" t="s">
        <v>482</v>
      </c>
      <c r="B52" s="18" t="s">
        <v>382</v>
      </c>
      <c r="C52" s="35" t="s">
        <v>88</v>
      </c>
      <c r="D52" s="36" t="s">
        <v>493</v>
      </c>
      <c r="E52" s="35" t="s">
        <v>90</v>
      </c>
      <c r="F52" s="20" t="s">
        <v>494</v>
      </c>
      <c r="G52" s="20" t="s">
        <v>495</v>
      </c>
      <c r="H52" s="20" t="s">
        <v>93</v>
      </c>
      <c r="I52" s="20" t="s">
        <v>94</v>
      </c>
      <c r="J52" s="20" t="s">
        <v>486</v>
      </c>
      <c r="K52" s="20" t="s">
        <v>96</v>
      </c>
      <c r="L52" s="20" t="s">
        <v>97</v>
      </c>
      <c r="M52" s="20" t="s">
        <v>98</v>
      </c>
      <c r="N52" s="20" t="s">
        <v>487</v>
      </c>
      <c r="O52" s="20" t="s">
        <v>100</v>
      </c>
      <c r="P52" s="20" t="s">
        <v>101</v>
      </c>
      <c r="Q52" s="20" t="s">
        <v>102</v>
      </c>
      <c r="R52" s="20" t="s">
        <v>103</v>
      </c>
      <c r="S52" s="20" t="s">
        <v>104</v>
      </c>
      <c r="T52" s="20" t="s">
        <v>105</v>
      </c>
      <c r="U52" s="20" t="s">
        <v>106</v>
      </c>
      <c r="V52" s="21" t="s">
        <v>474</v>
      </c>
      <c r="W52" s="21" t="s">
        <v>108</v>
      </c>
      <c r="X52" s="21" t="s">
        <v>164</v>
      </c>
      <c r="Y52" s="21" t="s">
        <v>496</v>
      </c>
      <c r="Z52" s="21" t="s">
        <v>111</v>
      </c>
      <c r="AA52" s="21" t="s">
        <v>166</v>
      </c>
      <c r="AB52" s="21" t="s">
        <v>497</v>
      </c>
      <c r="AC52" s="21" t="s">
        <v>498</v>
      </c>
      <c r="AD52" s="37">
        <v>5500</v>
      </c>
      <c r="AE52" s="23" t="s">
        <v>115</v>
      </c>
      <c r="AF52" s="38"/>
      <c r="AG52" s="23" t="s">
        <v>116</v>
      </c>
      <c r="AH52" s="38"/>
      <c r="AI52" s="25" t="s">
        <v>117</v>
      </c>
      <c r="AJ52" s="22">
        <v>380</v>
      </c>
      <c r="AK52" s="25" t="s">
        <v>116</v>
      </c>
      <c r="AL52" s="22">
        <v>0</v>
      </c>
      <c r="AM52" s="23" t="s">
        <v>115</v>
      </c>
      <c r="AN52" s="22">
        <v>1500</v>
      </c>
      <c r="AO52" s="25" t="s">
        <v>116</v>
      </c>
      <c r="AP52" s="37">
        <v>4200</v>
      </c>
      <c r="AQ52" s="23" t="s">
        <v>115</v>
      </c>
      <c r="AR52" s="38"/>
      <c r="AS52" s="23" t="s">
        <v>117</v>
      </c>
      <c r="AT52" s="39" t="s">
        <v>118</v>
      </c>
      <c r="AU52" s="23" t="s">
        <v>116</v>
      </c>
      <c r="AV52" s="22">
        <v>1910</v>
      </c>
      <c r="AW52" s="23" t="s">
        <v>116</v>
      </c>
      <c r="AX52" s="22">
        <v>1600</v>
      </c>
      <c r="AY52" s="23" t="s">
        <v>116</v>
      </c>
      <c r="AZ52" s="22">
        <v>1189.93</v>
      </c>
      <c r="BA52" s="23" t="s">
        <v>115</v>
      </c>
      <c r="BB52" s="22">
        <v>182.93</v>
      </c>
      <c r="BC52" s="23" t="s">
        <v>115</v>
      </c>
      <c r="BD52" s="39" t="s">
        <v>118</v>
      </c>
      <c r="BE52" s="23" t="s">
        <v>115</v>
      </c>
      <c r="BF52" s="39" t="s">
        <v>118</v>
      </c>
      <c r="BG52" s="23" t="s">
        <v>115</v>
      </c>
      <c r="BH52" s="40"/>
      <c r="BI52" s="25" t="s">
        <v>117</v>
      </c>
      <c r="BJ52" s="40"/>
      <c r="BK52" s="25" t="s">
        <v>117</v>
      </c>
      <c r="BL52" s="40"/>
      <c r="BM52" s="25" t="s">
        <v>117</v>
      </c>
      <c r="BN52" s="22">
        <v>165</v>
      </c>
      <c r="BO52" s="25" t="s">
        <v>116</v>
      </c>
      <c r="BP52" s="37">
        <v>150</v>
      </c>
      <c r="BQ52" s="25" t="s">
        <v>116</v>
      </c>
      <c r="BR52" s="40"/>
      <c r="BS52" s="25" t="s">
        <v>117</v>
      </c>
      <c r="BT52" s="40"/>
      <c r="BU52" s="25" t="s">
        <v>117</v>
      </c>
      <c r="BV52" s="40"/>
      <c r="BW52" s="25" t="s">
        <v>117</v>
      </c>
      <c r="BX52" s="40"/>
      <c r="BY52" s="25" t="s">
        <v>117</v>
      </c>
      <c r="BZ52" s="40"/>
      <c r="CA52" s="25" t="s">
        <v>117</v>
      </c>
      <c r="CB52" s="40"/>
      <c r="CC52" s="25" t="s">
        <v>117</v>
      </c>
      <c r="CD52" s="40"/>
      <c r="CE52" s="25" t="s">
        <v>117</v>
      </c>
      <c r="CF52" s="40"/>
      <c r="CG52" s="25" t="s">
        <v>117</v>
      </c>
      <c r="CH52" s="40"/>
      <c r="CI52" s="25"/>
      <c r="CJ52" s="40"/>
      <c r="CK52" s="41" t="s">
        <v>117</v>
      </c>
      <c r="CL52" s="40"/>
      <c r="CM52" s="41" t="s">
        <v>117</v>
      </c>
      <c r="CN52" s="40"/>
      <c r="CO52" s="25" t="s">
        <v>117</v>
      </c>
      <c r="CP52" s="30">
        <v>400</v>
      </c>
      <c r="CQ52" s="23" t="s">
        <v>115</v>
      </c>
      <c r="CR52" s="30">
        <v>300</v>
      </c>
      <c r="CS52" s="23" t="s">
        <v>115</v>
      </c>
      <c r="CT52" s="32"/>
      <c r="CU52" s="23" t="s">
        <v>117</v>
      </c>
      <c r="CV52" s="30">
        <v>165</v>
      </c>
      <c r="CW52" s="23" t="s">
        <v>115</v>
      </c>
      <c r="CX52" s="32"/>
      <c r="CY52" s="25" t="s">
        <v>117</v>
      </c>
      <c r="CZ52" s="32"/>
      <c r="DA52" s="25" t="s">
        <v>117</v>
      </c>
      <c r="DB52" s="33" t="s">
        <v>120</v>
      </c>
      <c r="DC52" s="25" t="s">
        <v>116</v>
      </c>
      <c r="DD52" s="34">
        <f t="shared" si="9"/>
        <v>1300</v>
      </c>
      <c r="DE52" t="s">
        <v>499</v>
      </c>
      <c r="DF52" t="str">
        <f t="shared" si="10"/>
        <v>Cayman Islands#Company#Cayman Islands EXEMPT LP</v>
      </c>
      <c r="DG52" t="b">
        <f t="shared" si="11"/>
        <v>1</v>
      </c>
    </row>
    <row r="53" spans="1:111" ht="78.75" hidden="1" customHeight="1" x14ac:dyDescent="0.35">
      <c r="A53" s="42" t="s">
        <v>482</v>
      </c>
      <c r="B53" s="18" t="s">
        <v>382</v>
      </c>
      <c r="C53" s="42" t="s">
        <v>88</v>
      </c>
      <c r="D53" s="43" t="s">
        <v>500</v>
      </c>
      <c r="E53" s="42" t="s">
        <v>90</v>
      </c>
      <c r="F53" s="20" t="s">
        <v>501</v>
      </c>
      <c r="G53" s="20" t="s">
        <v>502</v>
      </c>
      <c r="H53" s="20" t="s">
        <v>93</v>
      </c>
      <c r="I53" s="20" t="s">
        <v>94</v>
      </c>
      <c r="J53" s="20" t="s">
        <v>486</v>
      </c>
      <c r="K53" s="20" t="s">
        <v>96</v>
      </c>
      <c r="L53" s="20" t="s">
        <v>97</v>
      </c>
      <c r="M53" s="20" t="s">
        <v>98</v>
      </c>
      <c r="N53" s="20" t="s">
        <v>487</v>
      </c>
      <c r="O53" s="20" t="s">
        <v>100</v>
      </c>
      <c r="P53" s="20" t="s">
        <v>101</v>
      </c>
      <c r="Q53" s="20" t="s">
        <v>102</v>
      </c>
      <c r="R53" s="20" t="s">
        <v>103</v>
      </c>
      <c r="S53" s="20" t="s">
        <v>104</v>
      </c>
      <c r="T53" s="20" t="s">
        <v>105</v>
      </c>
      <c r="U53" s="20" t="s">
        <v>106</v>
      </c>
      <c r="V53" s="21" t="s">
        <v>243</v>
      </c>
      <c r="W53" s="21" t="s">
        <v>108</v>
      </c>
      <c r="X53" s="21" t="s">
        <v>109</v>
      </c>
      <c r="Y53" s="21" t="s">
        <v>489</v>
      </c>
      <c r="Z53" s="21" t="s">
        <v>111</v>
      </c>
      <c r="AA53" s="21" t="s">
        <v>112</v>
      </c>
      <c r="AB53" s="21" t="s">
        <v>503</v>
      </c>
      <c r="AC53" s="21" t="s">
        <v>504</v>
      </c>
      <c r="AD53" s="47">
        <v>5500</v>
      </c>
      <c r="AE53" s="23" t="s">
        <v>115</v>
      </c>
      <c r="AF53" s="44"/>
      <c r="AG53" s="23" t="s">
        <v>116</v>
      </c>
      <c r="AH53" s="44"/>
      <c r="AI53" s="25" t="s">
        <v>117</v>
      </c>
      <c r="AJ53" s="22">
        <v>380</v>
      </c>
      <c r="AK53" s="25" t="s">
        <v>116</v>
      </c>
      <c r="AL53" s="22">
        <v>0</v>
      </c>
      <c r="AM53" s="23" t="s">
        <v>115</v>
      </c>
      <c r="AN53" s="22">
        <v>1500</v>
      </c>
      <c r="AO53" s="25" t="s">
        <v>116</v>
      </c>
      <c r="AP53" s="47">
        <v>4200</v>
      </c>
      <c r="AQ53" s="23" t="s">
        <v>115</v>
      </c>
      <c r="AR53" s="44"/>
      <c r="AS53" s="23" t="s">
        <v>117</v>
      </c>
      <c r="AT53" s="45" t="s">
        <v>118</v>
      </c>
      <c r="AU53" s="23" t="s">
        <v>116</v>
      </c>
      <c r="AV53" s="22">
        <v>1910</v>
      </c>
      <c r="AW53" s="23" t="s">
        <v>116</v>
      </c>
      <c r="AX53" s="22">
        <v>1600</v>
      </c>
      <c r="AY53" s="23" t="s">
        <v>116</v>
      </c>
      <c r="AZ53" s="22">
        <v>1189.93</v>
      </c>
      <c r="BA53" s="23" t="s">
        <v>115</v>
      </c>
      <c r="BB53" s="22">
        <v>182.93</v>
      </c>
      <c r="BC53" s="23" t="s">
        <v>115</v>
      </c>
      <c r="BD53" s="45" t="s">
        <v>118</v>
      </c>
      <c r="BE53" s="23" t="s">
        <v>115</v>
      </c>
      <c r="BF53" s="45" t="s">
        <v>118</v>
      </c>
      <c r="BG53" s="23" t="s">
        <v>115</v>
      </c>
      <c r="BH53" s="46"/>
      <c r="BI53" s="25" t="s">
        <v>117</v>
      </c>
      <c r="BJ53" s="46"/>
      <c r="BK53" s="25" t="s">
        <v>117</v>
      </c>
      <c r="BL53" s="46"/>
      <c r="BM53" s="25" t="s">
        <v>117</v>
      </c>
      <c r="BN53" s="22">
        <v>165</v>
      </c>
      <c r="BO53" s="25" t="s">
        <v>116</v>
      </c>
      <c r="BP53" s="47">
        <v>150</v>
      </c>
      <c r="BQ53" s="25" t="s">
        <v>116</v>
      </c>
      <c r="BR53" s="46"/>
      <c r="BS53" s="25" t="s">
        <v>117</v>
      </c>
      <c r="BT53" s="46"/>
      <c r="BU53" s="25" t="s">
        <v>117</v>
      </c>
      <c r="BV53" s="46"/>
      <c r="BW53" s="25" t="s">
        <v>117</v>
      </c>
      <c r="BX53" s="46"/>
      <c r="BY53" s="25" t="s">
        <v>117</v>
      </c>
      <c r="BZ53" s="46"/>
      <c r="CA53" s="25" t="s">
        <v>117</v>
      </c>
      <c r="CB53" s="46"/>
      <c r="CC53" s="25" t="s">
        <v>117</v>
      </c>
      <c r="CD53" s="46"/>
      <c r="CE53" s="25" t="s">
        <v>117</v>
      </c>
      <c r="CF53" s="46"/>
      <c r="CG53" s="25" t="s">
        <v>117</v>
      </c>
      <c r="CH53" s="46"/>
      <c r="CI53" s="25"/>
      <c r="CJ53" s="46"/>
      <c r="CK53" s="48" t="s">
        <v>117</v>
      </c>
      <c r="CL53" s="46"/>
      <c r="CM53" s="48" t="s">
        <v>117</v>
      </c>
      <c r="CN53" s="46"/>
      <c r="CO53" s="25" t="s">
        <v>117</v>
      </c>
      <c r="CP53" s="30">
        <v>400</v>
      </c>
      <c r="CQ53" s="23" t="s">
        <v>115</v>
      </c>
      <c r="CR53" s="30">
        <v>300</v>
      </c>
      <c r="CS53" s="23" t="s">
        <v>115</v>
      </c>
      <c r="CT53" s="32"/>
      <c r="CU53" s="23" t="s">
        <v>117</v>
      </c>
      <c r="CV53" s="30">
        <v>165</v>
      </c>
      <c r="CW53" s="23" t="s">
        <v>115</v>
      </c>
      <c r="CX53" s="32"/>
      <c r="CY53" s="25" t="s">
        <v>117</v>
      </c>
      <c r="CZ53" s="32"/>
      <c r="DA53" s="25" t="s">
        <v>117</v>
      </c>
      <c r="DB53" s="33" t="s">
        <v>120</v>
      </c>
      <c r="DC53" s="25" t="s">
        <v>116</v>
      </c>
      <c r="DD53" s="34">
        <f t="shared" si="9"/>
        <v>1300</v>
      </c>
      <c r="DE53" t="s">
        <v>505</v>
      </c>
      <c r="DF53" t="str">
        <f t="shared" si="10"/>
        <v>Cayman Islands#Company#Cayman Islands Ordinary Non-Resident</v>
      </c>
      <c r="DG53" t="b">
        <f t="shared" si="11"/>
        <v>1</v>
      </c>
    </row>
    <row r="54" spans="1:111" ht="78.75" hidden="1" customHeight="1" x14ac:dyDescent="0.35">
      <c r="A54" s="72" t="s">
        <v>482</v>
      </c>
      <c r="B54" s="18" t="s">
        <v>382</v>
      </c>
      <c r="C54" s="72" t="s">
        <v>88</v>
      </c>
      <c r="D54" s="73" t="s">
        <v>506</v>
      </c>
      <c r="E54" s="72" t="s">
        <v>90</v>
      </c>
      <c r="F54" s="20" t="s">
        <v>326</v>
      </c>
      <c r="G54" s="20" t="s">
        <v>507</v>
      </c>
      <c r="H54" s="20" t="s">
        <v>93</v>
      </c>
      <c r="I54" s="20" t="s">
        <v>94</v>
      </c>
      <c r="J54" s="20" t="s">
        <v>486</v>
      </c>
      <c r="K54" s="20" t="s">
        <v>96</v>
      </c>
      <c r="L54" s="20" t="s">
        <v>97</v>
      </c>
      <c r="M54" s="20" t="s">
        <v>98</v>
      </c>
      <c r="N54" s="20" t="s">
        <v>487</v>
      </c>
      <c r="O54" s="20" t="s">
        <v>100</v>
      </c>
      <c r="P54" s="20" t="s">
        <v>101</v>
      </c>
      <c r="Q54" s="20" t="s">
        <v>102</v>
      </c>
      <c r="R54" s="20" t="s">
        <v>103</v>
      </c>
      <c r="S54" s="20" t="s">
        <v>104</v>
      </c>
      <c r="T54" s="20" t="s">
        <v>105</v>
      </c>
      <c r="U54" s="20" t="s">
        <v>106</v>
      </c>
      <c r="V54" s="21" t="s">
        <v>180</v>
      </c>
      <c r="W54" s="21" t="s">
        <v>108</v>
      </c>
      <c r="X54" s="21" t="s">
        <v>181</v>
      </c>
      <c r="Y54" s="21" t="s">
        <v>508</v>
      </c>
      <c r="Z54" s="21" t="s">
        <v>111</v>
      </c>
      <c r="AA54" s="21" t="s">
        <v>112</v>
      </c>
      <c r="AB54" s="21" t="s">
        <v>509</v>
      </c>
      <c r="AC54" s="21" t="s">
        <v>510</v>
      </c>
      <c r="AD54" s="61">
        <v>2170</v>
      </c>
      <c r="AE54" s="23" t="s">
        <v>115</v>
      </c>
      <c r="AF54" s="74"/>
      <c r="AG54" s="23" t="s">
        <v>116</v>
      </c>
      <c r="AH54" s="74"/>
      <c r="AI54" s="25" t="s">
        <v>117</v>
      </c>
      <c r="AJ54" s="26">
        <v>175</v>
      </c>
      <c r="AK54" s="25" t="s">
        <v>116</v>
      </c>
      <c r="AL54" s="22">
        <v>0</v>
      </c>
      <c r="AM54" s="23" t="s">
        <v>115</v>
      </c>
      <c r="AN54" s="61">
        <v>2000</v>
      </c>
      <c r="AO54" s="25" t="s">
        <v>116</v>
      </c>
      <c r="AP54" s="61">
        <v>2230</v>
      </c>
      <c r="AQ54" s="23" t="s">
        <v>115</v>
      </c>
      <c r="AR54" s="74"/>
      <c r="AS54" s="23" t="s">
        <v>117</v>
      </c>
      <c r="AT54" s="58" t="s">
        <v>118</v>
      </c>
      <c r="AU54" s="23" t="s">
        <v>116</v>
      </c>
      <c r="AV54" s="61">
        <v>1910</v>
      </c>
      <c r="AW54" s="23" t="s">
        <v>116</v>
      </c>
      <c r="AX54" s="61">
        <v>1600</v>
      </c>
      <c r="AY54" s="23" t="s">
        <v>116</v>
      </c>
      <c r="AZ54" s="61">
        <v>3446</v>
      </c>
      <c r="BA54" s="23" t="s">
        <v>115</v>
      </c>
      <c r="BB54" s="61">
        <v>182.93</v>
      </c>
      <c r="BC54" s="23" t="s">
        <v>115</v>
      </c>
      <c r="BD54" s="58" t="s">
        <v>118</v>
      </c>
      <c r="BE54" s="23" t="s">
        <v>115</v>
      </c>
      <c r="BF54" s="58" t="s">
        <v>118</v>
      </c>
      <c r="BG54" s="23" t="s">
        <v>115</v>
      </c>
      <c r="BH54" s="75"/>
      <c r="BI54" s="25" t="s">
        <v>117</v>
      </c>
      <c r="BJ54" s="75"/>
      <c r="BK54" s="25" t="s">
        <v>117</v>
      </c>
      <c r="BL54" s="75"/>
      <c r="BM54" s="25" t="s">
        <v>117</v>
      </c>
      <c r="BN54" s="22">
        <v>165</v>
      </c>
      <c r="BO54" s="25" t="s">
        <v>116</v>
      </c>
      <c r="BP54" s="61">
        <v>440</v>
      </c>
      <c r="BQ54" s="25" t="s">
        <v>116</v>
      </c>
      <c r="BR54" s="75"/>
      <c r="BS54" s="25" t="s">
        <v>117</v>
      </c>
      <c r="BT54" s="75"/>
      <c r="BU54" s="25" t="s">
        <v>117</v>
      </c>
      <c r="BV54" s="75"/>
      <c r="BW54" s="25" t="s">
        <v>117</v>
      </c>
      <c r="BX54" s="75"/>
      <c r="BY54" s="25" t="s">
        <v>117</v>
      </c>
      <c r="BZ54" s="75"/>
      <c r="CA54" s="25" t="s">
        <v>117</v>
      </c>
      <c r="CB54" s="75"/>
      <c r="CC54" s="25" t="s">
        <v>117</v>
      </c>
      <c r="CD54" s="75"/>
      <c r="CE54" s="25" t="s">
        <v>117</v>
      </c>
      <c r="CF54" s="75"/>
      <c r="CG54" s="25" t="s">
        <v>117</v>
      </c>
      <c r="CH54" s="75"/>
      <c r="CI54" s="25"/>
      <c r="CJ54" s="75"/>
      <c r="CK54" s="62" t="s">
        <v>117</v>
      </c>
      <c r="CL54" s="75"/>
      <c r="CM54" s="62" t="s">
        <v>117</v>
      </c>
      <c r="CN54" s="75"/>
      <c r="CO54" s="25" t="s">
        <v>117</v>
      </c>
      <c r="CP54" s="30">
        <v>400</v>
      </c>
      <c r="CQ54" s="23" t="s">
        <v>115</v>
      </c>
      <c r="CR54" s="30">
        <v>300</v>
      </c>
      <c r="CS54" s="23" t="s">
        <v>115</v>
      </c>
      <c r="CT54" s="32"/>
      <c r="CU54" s="23" t="s">
        <v>117</v>
      </c>
      <c r="CV54" s="30">
        <v>165</v>
      </c>
      <c r="CW54" s="23" t="s">
        <v>115</v>
      </c>
      <c r="CX54" s="32"/>
      <c r="CY54" s="25" t="s">
        <v>117</v>
      </c>
      <c r="CZ54" s="32"/>
      <c r="DA54" s="25" t="s">
        <v>117</v>
      </c>
      <c r="DB54" s="33" t="s">
        <v>120</v>
      </c>
      <c r="DC54" s="25" t="s">
        <v>116</v>
      </c>
      <c r="DD54" s="34">
        <f t="shared" si="9"/>
        <v>1093</v>
      </c>
      <c r="DE54" t="s">
        <v>511</v>
      </c>
      <c r="DF54" t="str">
        <f t="shared" si="10"/>
        <v>Cayman Islands#Company#Cayman Islands SPC</v>
      </c>
      <c r="DG54" t="b">
        <f t="shared" si="11"/>
        <v>1</v>
      </c>
    </row>
    <row r="55" spans="1:111" ht="157.5" hidden="1" customHeight="1" x14ac:dyDescent="0.35">
      <c r="A55" s="42" t="s">
        <v>482</v>
      </c>
      <c r="B55" s="18" t="s">
        <v>382</v>
      </c>
      <c r="C55" s="42" t="s">
        <v>88</v>
      </c>
      <c r="D55" s="43" t="s">
        <v>512</v>
      </c>
      <c r="E55" s="42" t="s">
        <v>90</v>
      </c>
      <c r="F55" s="20" t="s">
        <v>513</v>
      </c>
      <c r="G55" s="20" t="s">
        <v>514</v>
      </c>
      <c r="H55" s="20" t="s">
        <v>93</v>
      </c>
      <c r="I55" s="20" t="s">
        <v>94</v>
      </c>
      <c r="J55" s="20" t="s">
        <v>486</v>
      </c>
      <c r="K55" s="20" t="s">
        <v>96</v>
      </c>
      <c r="L55" s="20" t="s">
        <v>97</v>
      </c>
      <c r="M55" s="20" t="s">
        <v>98</v>
      </c>
      <c r="N55" s="20" t="s">
        <v>487</v>
      </c>
      <c r="O55" s="20" t="s">
        <v>100</v>
      </c>
      <c r="P55" s="20" t="s">
        <v>101</v>
      </c>
      <c r="Q55" s="20" t="s">
        <v>102</v>
      </c>
      <c r="R55" s="20" t="s">
        <v>515</v>
      </c>
      <c r="S55" s="20" t="s">
        <v>516</v>
      </c>
      <c r="T55" s="20" t="s">
        <v>105</v>
      </c>
      <c r="U55" s="20" t="s">
        <v>517</v>
      </c>
      <c r="V55" s="21" t="s">
        <v>518</v>
      </c>
      <c r="W55" s="21" t="s">
        <v>108</v>
      </c>
      <c r="X55" s="21" t="s">
        <v>109</v>
      </c>
      <c r="Y55" s="21" t="s">
        <v>519</v>
      </c>
      <c r="Z55" s="21" t="s">
        <v>111</v>
      </c>
      <c r="AA55" s="21" t="s">
        <v>112</v>
      </c>
      <c r="AB55" s="21" t="s">
        <v>520</v>
      </c>
      <c r="AC55" s="21" t="s">
        <v>521</v>
      </c>
      <c r="AD55" s="47">
        <v>5500</v>
      </c>
      <c r="AE55" s="23" t="s">
        <v>115</v>
      </c>
      <c r="AF55" s="44"/>
      <c r="AG55" s="23" t="s">
        <v>116</v>
      </c>
      <c r="AH55" s="44"/>
      <c r="AI55" s="25" t="s">
        <v>117</v>
      </c>
      <c r="AJ55" s="22">
        <v>380</v>
      </c>
      <c r="AK55" s="25" t="s">
        <v>116</v>
      </c>
      <c r="AL55" s="22">
        <v>0</v>
      </c>
      <c r="AM55" s="23" t="s">
        <v>115</v>
      </c>
      <c r="AN55" s="22">
        <v>1500</v>
      </c>
      <c r="AO55" s="25" t="s">
        <v>116</v>
      </c>
      <c r="AP55" s="47">
        <v>4200</v>
      </c>
      <c r="AQ55" s="23" t="s">
        <v>115</v>
      </c>
      <c r="AR55" s="44"/>
      <c r="AS55" s="23" t="s">
        <v>117</v>
      </c>
      <c r="AT55" s="45" t="s">
        <v>118</v>
      </c>
      <c r="AU55" s="23" t="s">
        <v>116</v>
      </c>
      <c r="AV55" s="22">
        <v>1910</v>
      </c>
      <c r="AW55" s="23" t="s">
        <v>115</v>
      </c>
      <c r="AX55" s="22">
        <v>1600</v>
      </c>
      <c r="AY55" s="23" t="s">
        <v>115</v>
      </c>
      <c r="AZ55" s="22">
        <v>1189.93</v>
      </c>
      <c r="BA55" s="23" t="s">
        <v>115</v>
      </c>
      <c r="BB55" s="22">
        <v>182.93</v>
      </c>
      <c r="BC55" s="23" t="s">
        <v>115</v>
      </c>
      <c r="BD55" s="45" t="s">
        <v>118</v>
      </c>
      <c r="BE55" s="23" t="s">
        <v>115</v>
      </c>
      <c r="BF55" s="45" t="s">
        <v>118</v>
      </c>
      <c r="BG55" s="23" t="s">
        <v>115</v>
      </c>
      <c r="BH55" s="46"/>
      <c r="BI55" s="25" t="s">
        <v>117</v>
      </c>
      <c r="BJ55" s="46"/>
      <c r="BK55" s="25" t="s">
        <v>117</v>
      </c>
      <c r="BL55" s="46"/>
      <c r="BM55" s="25" t="s">
        <v>117</v>
      </c>
      <c r="BN55" s="22">
        <v>165</v>
      </c>
      <c r="BO55" s="25" t="s">
        <v>116</v>
      </c>
      <c r="BP55" s="47">
        <v>150</v>
      </c>
      <c r="BQ55" s="25" t="s">
        <v>116</v>
      </c>
      <c r="BR55" s="46"/>
      <c r="BS55" s="25" t="s">
        <v>117</v>
      </c>
      <c r="BT55" s="46"/>
      <c r="BU55" s="25" t="s">
        <v>117</v>
      </c>
      <c r="BV55" s="46"/>
      <c r="BW55" s="25" t="s">
        <v>117</v>
      </c>
      <c r="BX55" s="46"/>
      <c r="BY55" s="25" t="s">
        <v>117</v>
      </c>
      <c r="BZ55" s="46"/>
      <c r="CA55" s="25" t="s">
        <v>117</v>
      </c>
      <c r="CB55" s="46"/>
      <c r="CC55" s="25" t="s">
        <v>117</v>
      </c>
      <c r="CD55" s="46"/>
      <c r="CE55" s="25" t="s">
        <v>117</v>
      </c>
      <c r="CF55" s="46"/>
      <c r="CG55" s="25" t="s">
        <v>117</v>
      </c>
      <c r="CH55" s="46"/>
      <c r="CI55" s="25"/>
      <c r="CJ55" s="46"/>
      <c r="CK55" s="48" t="s">
        <v>117</v>
      </c>
      <c r="CL55" s="46"/>
      <c r="CM55" s="48" t="s">
        <v>117</v>
      </c>
      <c r="CN55" s="46"/>
      <c r="CO55" s="25" t="s">
        <v>117</v>
      </c>
      <c r="CP55" s="30">
        <v>400</v>
      </c>
      <c r="CQ55" s="23" t="s">
        <v>115</v>
      </c>
      <c r="CR55" s="30">
        <v>300</v>
      </c>
      <c r="CS55" s="23" t="s">
        <v>115</v>
      </c>
      <c r="CT55" s="32"/>
      <c r="CU55" s="23" t="s">
        <v>117</v>
      </c>
      <c r="CV55" s="30">
        <v>165</v>
      </c>
      <c r="CW55" s="23" t="s">
        <v>115</v>
      </c>
      <c r="CX55" s="32"/>
      <c r="CY55" s="25" t="s">
        <v>117</v>
      </c>
      <c r="CZ55" s="32"/>
      <c r="DA55" s="25" t="s">
        <v>117</v>
      </c>
      <c r="DB55" s="33" t="s">
        <v>120</v>
      </c>
      <c r="DC55" s="25" t="s">
        <v>116</v>
      </c>
      <c r="DD55" s="34">
        <f t="shared" si="9"/>
        <v>1300</v>
      </c>
      <c r="DE55" t="s">
        <v>522</v>
      </c>
      <c r="DF55" t="str">
        <f t="shared" si="10"/>
        <v>Cayman Islands#Company#Cayman Islands LLC</v>
      </c>
      <c r="DG55" t="b">
        <f t="shared" si="11"/>
        <v>1</v>
      </c>
    </row>
    <row r="56" spans="1:111" ht="78.75" hidden="1" customHeight="1" x14ac:dyDescent="0.35">
      <c r="A56" s="72" t="s">
        <v>482</v>
      </c>
      <c r="B56" s="18" t="s">
        <v>382</v>
      </c>
      <c r="C56" s="72" t="s">
        <v>122</v>
      </c>
      <c r="D56" s="73" t="s">
        <v>523</v>
      </c>
      <c r="E56" s="72" t="s">
        <v>90</v>
      </c>
      <c r="F56" s="20" t="s">
        <v>124</v>
      </c>
      <c r="G56" s="20" t="s">
        <v>524</v>
      </c>
      <c r="H56" s="20" t="s">
        <v>126</v>
      </c>
      <c r="I56" s="20" t="s">
        <v>127</v>
      </c>
      <c r="J56" s="20" t="s">
        <v>486</v>
      </c>
      <c r="K56" s="20" t="s">
        <v>96</v>
      </c>
      <c r="L56" s="20" t="s">
        <v>97</v>
      </c>
      <c r="M56" s="20" t="s">
        <v>98</v>
      </c>
      <c r="N56" s="20" t="s">
        <v>128</v>
      </c>
      <c r="O56" s="20" t="s">
        <v>129</v>
      </c>
      <c r="P56" s="20" t="s">
        <v>130</v>
      </c>
      <c r="Q56" s="20" t="s">
        <v>131</v>
      </c>
      <c r="R56" s="20" t="s">
        <v>132</v>
      </c>
      <c r="S56" s="20" t="s">
        <v>133</v>
      </c>
      <c r="T56" s="20" t="s">
        <v>134</v>
      </c>
      <c r="U56" s="20" t="s">
        <v>135</v>
      </c>
      <c r="V56" s="21" t="s">
        <v>122</v>
      </c>
      <c r="W56" s="21" t="s">
        <v>108</v>
      </c>
      <c r="X56" s="21" t="s">
        <v>109</v>
      </c>
      <c r="Y56" s="21" t="s">
        <v>525</v>
      </c>
      <c r="Z56" s="21" t="s">
        <v>111</v>
      </c>
      <c r="AA56" s="21"/>
      <c r="AB56" s="21" t="s">
        <v>526</v>
      </c>
      <c r="AC56" s="21" t="s">
        <v>527</v>
      </c>
      <c r="AD56" s="61">
        <v>6940</v>
      </c>
      <c r="AE56" s="23" t="s">
        <v>115</v>
      </c>
      <c r="AF56" s="74"/>
      <c r="AG56" s="23" t="s">
        <v>116</v>
      </c>
      <c r="AH56" s="74"/>
      <c r="AI56" s="25" t="s">
        <v>117</v>
      </c>
      <c r="AJ56" s="74"/>
      <c r="AK56" s="25" t="s">
        <v>117</v>
      </c>
      <c r="AL56" s="22">
        <v>0</v>
      </c>
      <c r="AM56" s="23" t="s">
        <v>115</v>
      </c>
      <c r="AN56" s="61">
        <v>1500</v>
      </c>
      <c r="AO56" s="25" t="s">
        <v>116</v>
      </c>
      <c r="AQ56" s="23" t="s">
        <v>117</v>
      </c>
      <c r="AR56" s="61">
        <v>6940</v>
      </c>
      <c r="AS56" s="23" t="s">
        <v>115</v>
      </c>
      <c r="AT56" s="58" t="s">
        <v>118</v>
      </c>
      <c r="AU56" s="23" t="s">
        <v>116</v>
      </c>
      <c r="AV56" s="58" t="s">
        <v>118</v>
      </c>
      <c r="AW56" s="23" t="s">
        <v>115</v>
      </c>
      <c r="AX56" s="58" t="s">
        <v>118</v>
      </c>
      <c r="AY56" s="23" t="s">
        <v>115</v>
      </c>
      <c r="AZ56" s="58" t="s">
        <v>118</v>
      </c>
      <c r="BA56" s="23" t="s">
        <v>115</v>
      </c>
      <c r="BB56" s="75"/>
      <c r="BC56" s="23" t="s">
        <v>115</v>
      </c>
      <c r="BD56" s="61">
        <v>1000</v>
      </c>
      <c r="BE56" s="23" t="s">
        <v>115</v>
      </c>
      <c r="BF56" s="58" t="s">
        <v>118</v>
      </c>
      <c r="BG56" s="23" t="s">
        <v>115</v>
      </c>
      <c r="BH56" s="75"/>
      <c r="BI56" s="25" t="s">
        <v>117</v>
      </c>
      <c r="BJ56" s="75"/>
      <c r="BK56" s="25" t="s">
        <v>117</v>
      </c>
      <c r="BL56" s="75"/>
      <c r="BM56" s="25" t="s">
        <v>117</v>
      </c>
      <c r="BN56" s="61">
        <v>165</v>
      </c>
      <c r="BO56" s="25" t="s">
        <v>116</v>
      </c>
      <c r="BP56" s="75"/>
      <c r="BQ56" s="25" t="s">
        <v>117</v>
      </c>
      <c r="BR56" s="75"/>
      <c r="BS56" s="25" t="s">
        <v>117</v>
      </c>
      <c r="BT56" s="75"/>
      <c r="BU56" s="25" t="s">
        <v>117</v>
      </c>
      <c r="BV56" s="75"/>
      <c r="BW56" s="25" t="s">
        <v>117</v>
      </c>
      <c r="BX56" s="75"/>
      <c r="BY56" s="25" t="s">
        <v>117</v>
      </c>
      <c r="BZ56" s="75"/>
      <c r="CA56" s="25" t="s">
        <v>117</v>
      </c>
      <c r="CB56" s="75"/>
      <c r="CC56" s="25" t="s">
        <v>117</v>
      </c>
      <c r="CD56" s="75"/>
      <c r="CE56" s="25" t="s">
        <v>117</v>
      </c>
      <c r="CF56" s="75"/>
      <c r="CG56" s="25" t="s">
        <v>117</v>
      </c>
      <c r="CH56" s="75"/>
      <c r="CI56" s="25"/>
      <c r="CJ56" s="75"/>
      <c r="CK56" s="62" t="s">
        <v>117</v>
      </c>
      <c r="CL56" s="75"/>
      <c r="CM56" s="62" t="s">
        <v>117</v>
      </c>
      <c r="CN56" s="75"/>
      <c r="CO56" s="25" t="s">
        <v>117</v>
      </c>
      <c r="CP56" s="30">
        <v>400</v>
      </c>
      <c r="CQ56" s="23" t="s">
        <v>115</v>
      </c>
      <c r="CR56" s="30">
        <v>300</v>
      </c>
      <c r="CS56" s="23" t="s">
        <v>115</v>
      </c>
      <c r="CT56" s="32"/>
      <c r="CU56" s="23" t="s">
        <v>117</v>
      </c>
      <c r="CV56" s="30">
        <v>165</v>
      </c>
      <c r="CW56" s="23" t="s">
        <v>115</v>
      </c>
      <c r="CX56" s="32"/>
      <c r="CY56" s="25" t="s">
        <v>117</v>
      </c>
      <c r="CZ56" s="32"/>
      <c r="DA56" s="25" t="s">
        <v>117</v>
      </c>
      <c r="DB56" s="33" t="s">
        <v>528</v>
      </c>
      <c r="DC56" s="25" t="s">
        <v>116</v>
      </c>
      <c r="DD56" s="34">
        <f t="shared" si="9"/>
        <v>1218</v>
      </c>
      <c r="DE56" t="s">
        <v>529</v>
      </c>
      <c r="DF56" t="str">
        <f t="shared" si="10"/>
        <v>Cayman Islands#Trust#Cayman Islands Trust</v>
      </c>
      <c r="DG56" t="b">
        <f t="shared" si="11"/>
        <v>1</v>
      </c>
    </row>
    <row r="57" spans="1:111" ht="78.75" hidden="1" customHeight="1" x14ac:dyDescent="0.35">
      <c r="A57" s="18" t="s">
        <v>482</v>
      </c>
      <c r="B57" s="18" t="s">
        <v>382</v>
      </c>
      <c r="C57" s="18" t="s">
        <v>122</v>
      </c>
      <c r="D57" s="19" t="s">
        <v>530</v>
      </c>
      <c r="E57" s="18" t="s">
        <v>90</v>
      </c>
      <c r="F57" s="20" t="s">
        <v>531</v>
      </c>
      <c r="G57" s="20" t="s">
        <v>532</v>
      </c>
      <c r="H57" s="20" t="s">
        <v>126</v>
      </c>
      <c r="I57" s="20" t="s">
        <v>127</v>
      </c>
      <c r="J57" s="20" t="s">
        <v>486</v>
      </c>
      <c r="K57" s="20" t="s">
        <v>96</v>
      </c>
      <c r="L57" s="20" t="s">
        <v>97</v>
      </c>
      <c r="M57" s="20" t="s">
        <v>98</v>
      </c>
      <c r="N57" s="20" t="s">
        <v>128</v>
      </c>
      <c r="O57" s="20" t="s">
        <v>129</v>
      </c>
      <c r="P57" s="20" t="s">
        <v>130</v>
      </c>
      <c r="Q57" s="20" t="s">
        <v>131</v>
      </c>
      <c r="R57" s="20" t="s">
        <v>132</v>
      </c>
      <c r="S57" s="20" t="s">
        <v>133</v>
      </c>
      <c r="T57" s="20" t="s">
        <v>134</v>
      </c>
      <c r="U57" s="20" t="s">
        <v>135</v>
      </c>
      <c r="V57" s="21" t="s">
        <v>533</v>
      </c>
      <c r="W57" s="21" t="s">
        <v>108</v>
      </c>
      <c r="X57" s="21" t="s">
        <v>109</v>
      </c>
      <c r="Y57" s="21" t="s">
        <v>534</v>
      </c>
      <c r="Z57" s="21" t="s">
        <v>111</v>
      </c>
      <c r="AA57" s="21"/>
      <c r="AB57" s="21" t="s">
        <v>535</v>
      </c>
      <c r="AC57" s="21" t="s">
        <v>536</v>
      </c>
      <c r="AD57" s="22">
        <v>6940</v>
      </c>
      <c r="AE57" s="23" t="s">
        <v>115</v>
      </c>
      <c r="AF57" s="24"/>
      <c r="AG57" s="23" t="s">
        <v>116</v>
      </c>
      <c r="AH57" s="24"/>
      <c r="AI57" s="25" t="s">
        <v>117</v>
      </c>
      <c r="AJ57" s="24"/>
      <c r="AK57" s="25" t="s">
        <v>117</v>
      </c>
      <c r="AL57" s="22">
        <v>0</v>
      </c>
      <c r="AM57" s="23" t="s">
        <v>115</v>
      </c>
      <c r="AN57" s="22">
        <v>1500</v>
      </c>
      <c r="AO57" s="25" t="s">
        <v>116</v>
      </c>
      <c r="AQ57" s="23" t="s">
        <v>117</v>
      </c>
      <c r="AR57" s="22">
        <v>6940</v>
      </c>
      <c r="AS57" s="23" t="s">
        <v>115</v>
      </c>
      <c r="AT57" s="27" t="s">
        <v>118</v>
      </c>
      <c r="AU57" s="23" t="s">
        <v>116</v>
      </c>
      <c r="AV57" s="27" t="s">
        <v>118</v>
      </c>
      <c r="AW57" s="23" t="s">
        <v>115</v>
      </c>
      <c r="AX57" s="27" t="s">
        <v>118</v>
      </c>
      <c r="AY57" s="23" t="s">
        <v>115</v>
      </c>
      <c r="AZ57" s="27" t="s">
        <v>118</v>
      </c>
      <c r="BA57" s="23" t="s">
        <v>115</v>
      </c>
      <c r="BB57" s="28"/>
      <c r="BC57" s="23" t="s">
        <v>115</v>
      </c>
      <c r="BD57" s="22">
        <v>1000</v>
      </c>
      <c r="BE57" s="23" t="s">
        <v>115</v>
      </c>
      <c r="BF57" s="27" t="s">
        <v>118</v>
      </c>
      <c r="BG57" s="23" t="s">
        <v>115</v>
      </c>
      <c r="BH57" s="28"/>
      <c r="BI57" s="25" t="s">
        <v>117</v>
      </c>
      <c r="BJ57" s="28"/>
      <c r="BK57" s="25" t="s">
        <v>117</v>
      </c>
      <c r="BL57" s="28"/>
      <c r="BM57" s="25" t="s">
        <v>117</v>
      </c>
      <c r="BN57" s="22">
        <v>165</v>
      </c>
      <c r="BO57" s="25" t="s">
        <v>116</v>
      </c>
      <c r="BP57" s="28"/>
      <c r="BQ57" s="25" t="s">
        <v>117</v>
      </c>
      <c r="BR57" s="28"/>
      <c r="BS57" s="25" t="s">
        <v>117</v>
      </c>
      <c r="BT57" s="28"/>
      <c r="BU57" s="25" t="s">
        <v>117</v>
      </c>
      <c r="BV57" s="28"/>
      <c r="BW57" s="25" t="s">
        <v>117</v>
      </c>
      <c r="BX57" s="28"/>
      <c r="BY57" s="25" t="s">
        <v>117</v>
      </c>
      <c r="BZ57" s="28"/>
      <c r="CA57" s="25" t="s">
        <v>117</v>
      </c>
      <c r="CB57" s="28"/>
      <c r="CC57" s="25" t="s">
        <v>117</v>
      </c>
      <c r="CD57" s="28"/>
      <c r="CE57" s="25" t="s">
        <v>117</v>
      </c>
      <c r="CF57" s="28"/>
      <c r="CG57" s="25" t="s">
        <v>117</v>
      </c>
      <c r="CH57" s="28"/>
      <c r="CI57" s="25"/>
      <c r="CJ57" s="28"/>
      <c r="CK57" s="29" t="s">
        <v>117</v>
      </c>
      <c r="CL57" s="28"/>
      <c r="CM57" s="29" t="s">
        <v>117</v>
      </c>
      <c r="CN57" s="28"/>
      <c r="CO57" s="25" t="s">
        <v>117</v>
      </c>
      <c r="CP57" s="30">
        <v>400</v>
      </c>
      <c r="CQ57" s="23" t="s">
        <v>115</v>
      </c>
      <c r="CR57" s="30">
        <v>300</v>
      </c>
      <c r="CS57" s="23" t="s">
        <v>115</v>
      </c>
      <c r="CT57" s="32"/>
      <c r="CU57" s="23" t="s">
        <v>117</v>
      </c>
      <c r="CV57" s="30">
        <v>165</v>
      </c>
      <c r="CW57" s="23" t="s">
        <v>115</v>
      </c>
      <c r="CX57" s="32"/>
      <c r="CY57" s="25" t="s">
        <v>117</v>
      </c>
      <c r="CZ57" s="32"/>
      <c r="DA57" s="25" t="s">
        <v>117</v>
      </c>
      <c r="DB57" s="33" t="s">
        <v>537</v>
      </c>
      <c r="DC57" s="25" t="s">
        <v>116</v>
      </c>
      <c r="DD57" s="34">
        <f t="shared" si="9"/>
        <v>1218</v>
      </c>
      <c r="DE57" t="s">
        <v>538</v>
      </c>
      <c r="DF57" t="str">
        <f t="shared" si="10"/>
        <v>Cayman Islands#Trust#Cayman Islands Star Trust</v>
      </c>
      <c r="DG57" t="b">
        <f t="shared" si="11"/>
        <v>1</v>
      </c>
    </row>
    <row r="58" spans="1:111" ht="78.75" hidden="1" customHeight="1" x14ac:dyDescent="0.35">
      <c r="A58" s="72" t="s">
        <v>482</v>
      </c>
      <c r="B58" s="18" t="s">
        <v>539</v>
      </c>
      <c r="C58" s="72" t="s">
        <v>540</v>
      </c>
      <c r="D58" s="73" t="s">
        <v>541</v>
      </c>
      <c r="E58" s="72" t="s">
        <v>90</v>
      </c>
      <c r="F58" s="20" t="s">
        <v>542</v>
      </c>
      <c r="G58" s="20" t="s">
        <v>543</v>
      </c>
      <c r="H58" s="20" t="s">
        <v>544</v>
      </c>
      <c r="I58" s="20" t="s">
        <v>545</v>
      </c>
      <c r="J58" s="20" t="s">
        <v>546</v>
      </c>
      <c r="K58" s="20" t="s">
        <v>547</v>
      </c>
      <c r="L58" s="20" t="s">
        <v>548</v>
      </c>
      <c r="M58" s="20" t="s">
        <v>549</v>
      </c>
      <c r="N58" s="20" t="s">
        <v>550</v>
      </c>
      <c r="O58" s="20" t="s">
        <v>551</v>
      </c>
      <c r="P58" s="20" t="s">
        <v>552</v>
      </c>
      <c r="Q58" s="20" t="s">
        <v>553</v>
      </c>
      <c r="R58" s="20" t="s">
        <v>554</v>
      </c>
      <c r="S58" s="20" t="s">
        <v>555</v>
      </c>
      <c r="T58" s="20" t="s">
        <v>556</v>
      </c>
      <c r="U58" s="20" t="s">
        <v>557</v>
      </c>
      <c r="V58" s="21" t="s">
        <v>267</v>
      </c>
      <c r="W58" s="21" t="s">
        <v>108</v>
      </c>
      <c r="X58" s="21" t="s">
        <v>109</v>
      </c>
      <c r="Y58" s="21" t="s">
        <v>558</v>
      </c>
      <c r="Z58" s="21" t="s">
        <v>111</v>
      </c>
      <c r="AA58" s="21" t="s">
        <v>112</v>
      </c>
      <c r="AB58" s="21" t="s">
        <v>559</v>
      </c>
      <c r="AC58" s="21" t="s">
        <v>560</v>
      </c>
      <c r="AD58" s="76"/>
      <c r="AE58" s="23" t="s">
        <v>116</v>
      </c>
      <c r="AF58" s="24"/>
      <c r="AG58" s="23" t="s">
        <v>116</v>
      </c>
      <c r="AH58" s="24"/>
      <c r="AI58" s="25" t="s">
        <v>117</v>
      </c>
      <c r="AJ58" s="24"/>
      <c r="AK58" s="25" t="s">
        <v>117</v>
      </c>
      <c r="AL58" s="24"/>
      <c r="AM58" s="23" t="s">
        <v>117</v>
      </c>
      <c r="AN58" s="24"/>
      <c r="AO58" s="25" t="s">
        <v>117</v>
      </c>
      <c r="AQ58" s="23" t="s">
        <v>117</v>
      </c>
      <c r="AR58" s="24"/>
      <c r="AS58" s="23" t="s">
        <v>117</v>
      </c>
      <c r="AT58" s="28"/>
      <c r="AU58" s="23" t="s">
        <v>116</v>
      </c>
      <c r="AV58" s="28"/>
      <c r="AW58" s="23" t="s">
        <v>116</v>
      </c>
      <c r="AX58" s="28"/>
      <c r="AY58" s="23" t="s">
        <v>116</v>
      </c>
      <c r="AZ58" s="28"/>
      <c r="BA58" s="23" t="s">
        <v>116</v>
      </c>
      <c r="BB58" s="28"/>
      <c r="BC58" s="23" t="s">
        <v>116</v>
      </c>
      <c r="BD58" s="24"/>
      <c r="BE58" s="23" t="s">
        <v>116</v>
      </c>
      <c r="BF58" s="28"/>
      <c r="BG58" s="23" t="s">
        <v>116</v>
      </c>
      <c r="BH58" s="28"/>
      <c r="BI58" s="25" t="s">
        <v>117</v>
      </c>
      <c r="BJ58" s="28"/>
      <c r="BK58" s="25" t="s">
        <v>117</v>
      </c>
      <c r="BL58" s="28"/>
      <c r="BM58" s="25" t="s">
        <v>117</v>
      </c>
      <c r="BN58" s="28"/>
      <c r="BO58" s="25" t="s">
        <v>117</v>
      </c>
      <c r="BP58" s="28"/>
      <c r="BQ58" s="25" t="s">
        <v>117</v>
      </c>
      <c r="BR58" s="28"/>
      <c r="BS58" s="25" t="s">
        <v>117</v>
      </c>
      <c r="BT58" s="61">
        <v>15000</v>
      </c>
      <c r="BU58" s="25" t="s">
        <v>116</v>
      </c>
      <c r="BV58" s="28"/>
      <c r="BW58" s="25" t="s">
        <v>117</v>
      </c>
      <c r="BX58" s="28"/>
      <c r="BY58" s="25" t="s">
        <v>117</v>
      </c>
      <c r="BZ58" s="28"/>
      <c r="CA58" s="25" t="s">
        <v>117</v>
      </c>
      <c r="CB58" s="58">
        <v>0.45</v>
      </c>
      <c r="CC58" s="25" t="s">
        <v>116</v>
      </c>
      <c r="CD58" s="28"/>
      <c r="CE58" s="25" t="s">
        <v>117</v>
      </c>
      <c r="CF58" s="28"/>
      <c r="CG58" s="25" t="s">
        <v>117</v>
      </c>
      <c r="CH58" s="151">
        <v>2500</v>
      </c>
      <c r="CI58" s="25"/>
      <c r="CJ58" s="151">
        <v>2500</v>
      </c>
      <c r="CK58" s="29" t="s">
        <v>116</v>
      </c>
      <c r="CL58" s="45" t="s">
        <v>561</v>
      </c>
      <c r="CM58" s="29" t="s">
        <v>116</v>
      </c>
      <c r="CN58" s="45" t="s">
        <v>561</v>
      </c>
      <c r="CO58" s="25" t="s">
        <v>116</v>
      </c>
      <c r="CP58" s="30">
        <v>400</v>
      </c>
      <c r="CQ58" s="23" t="s">
        <v>115</v>
      </c>
      <c r="CR58" s="30">
        <v>300</v>
      </c>
      <c r="CS58" s="23" t="s">
        <v>115</v>
      </c>
      <c r="CT58" s="32"/>
      <c r="CU58" s="23" t="s">
        <v>117</v>
      </c>
      <c r="CV58" s="30">
        <v>165</v>
      </c>
      <c r="CW58" s="23" t="s">
        <v>115</v>
      </c>
      <c r="CX58" s="31" t="s">
        <v>561</v>
      </c>
      <c r="CY58" s="25" t="s">
        <v>116</v>
      </c>
      <c r="CZ58" s="31" t="s">
        <v>561</v>
      </c>
      <c r="DA58" s="25" t="s">
        <v>116</v>
      </c>
      <c r="DB58" s="33" t="s">
        <v>120</v>
      </c>
      <c r="DC58" s="25" t="s">
        <v>116</v>
      </c>
      <c r="DD58" s="34">
        <f t="shared" si="9"/>
        <v>1377</v>
      </c>
      <c r="DE58" s="77" t="s">
        <v>562</v>
      </c>
      <c r="DF58" t="str">
        <f t="shared" si="10"/>
        <v>Cayman Islands#Fund - compartment#Cayman Islands Investment Fund Compartment</v>
      </c>
      <c r="DG58" t="b">
        <f t="shared" si="11"/>
        <v>0</v>
      </c>
    </row>
    <row r="59" spans="1:111" ht="78.75" customHeight="1" x14ac:dyDescent="0.35">
      <c r="A59" s="72" t="s">
        <v>482</v>
      </c>
      <c r="B59" s="18" t="s">
        <v>382</v>
      </c>
      <c r="C59" s="72" t="s">
        <v>141</v>
      </c>
      <c r="D59" s="73" t="s">
        <v>563</v>
      </c>
      <c r="E59" s="72" t="s">
        <v>90</v>
      </c>
      <c r="F59" s="20" t="s">
        <v>564</v>
      </c>
      <c r="G59" s="20" t="s">
        <v>565</v>
      </c>
      <c r="H59" s="20" t="s">
        <v>145</v>
      </c>
      <c r="I59" s="20" t="s">
        <v>146</v>
      </c>
      <c r="J59" s="20" t="s">
        <v>486</v>
      </c>
      <c r="K59" s="20" t="s">
        <v>96</v>
      </c>
      <c r="L59" s="20" t="s">
        <v>97</v>
      </c>
      <c r="M59" s="20" t="s">
        <v>98</v>
      </c>
      <c r="N59" s="20" t="s">
        <v>147</v>
      </c>
      <c r="O59" s="20" t="s">
        <v>148</v>
      </c>
      <c r="P59" s="20" t="s">
        <v>149</v>
      </c>
      <c r="Q59" s="20" t="s">
        <v>150</v>
      </c>
      <c r="R59" s="20" t="s">
        <v>151</v>
      </c>
      <c r="S59" s="20" t="s">
        <v>152</v>
      </c>
      <c r="T59" s="20" t="s">
        <v>153</v>
      </c>
      <c r="U59" s="20" t="s">
        <v>154</v>
      </c>
      <c r="V59" s="21" t="s">
        <v>267</v>
      </c>
      <c r="W59" s="21" t="s">
        <v>108</v>
      </c>
      <c r="X59" s="21" t="s">
        <v>109</v>
      </c>
      <c r="Y59" s="21" t="s">
        <v>558</v>
      </c>
      <c r="Z59" s="21" t="s">
        <v>111</v>
      </c>
      <c r="AA59" s="21" t="s">
        <v>112</v>
      </c>
      <c r="AB59" s="21" t="s">
        <v>566</v>
      </c>
      <c r="AC59" s="21" t="s">
        <v>567</v>
      </c>
      <c r="AE59" s="23" t="s">
        <v>115</v>
      </c>
      <c r="AF59" s="74"/>
      <c r="AG59" s="23" t="s">
        <v>116</v>
      </c>
      <c r="AH59" s="74"/>
      <c r="AI59" s="25" t="s">
        <v>117</v>
      </c>
      <c r="AJ59" s="74"/>
      <c r="AK59" s="25" t="s">
        <v>117</v>
      </c>
      <c r="AL59" s="22">
        <v>0</v>
      </c>
      <c r="AM59" s="23" t="s">
        <v>115</v>
      </c>
      <c r="AN59" s="74"/>
      <c r="AO59" s="25" t="s">
        <v>117</v>
      </c>
      <c r="AP59" s="61"/>
      <c r="AQ59" s="23" t="s">
        <v>115</v>
      </c>
      <c r="AR59" s="74"/>
      <c r="AS59" s="23" t="s">
        <v>117</v>
      </c>
      <c r="AT59" s="58" t="s">
        <v>118</v>
      </c>
      <c r="AU59" s="23" t="s">
        <v>116</v>
      </c>
      <c r="AV59" s="61"/>
      <c r="AW59" s="23" t="s">
        <v>116</v>
      </c>
      <c r="AX59" s="61"/>
      <c r="AY59" s="23" t="s">
        <v>115</v>
      </c>
      <c r="AZ59" s="22">
        <v>1189.93</v>
      </c>
      <c r="BA59" s="23" t="s">
        <v>115</v>
      </c>
      <c r="BB59" s="22">
        <v>182.93</v>
      </c>
      <c r="BC59" s="23" t="s">
        <v>115</v>
      </c>
      <c r="BD59" s="58" t="s">
        <v>118</v>
      </c>
      <c r="BE59" s="23" t="s">
        <v>115</v>
      </c>
      <c r="BF59" s="58" t="s">
        <v>118</v>
      </c>
      <c r="BG59" s="23" t="s">
        <v>115</v>
      </c>
      <c r="BH59" s="75"/>
      <c r="BI59" s="25" t="s">
        <v>117</v>
      </c>
      <c r="BJ59" s="75"/>
      <c r="BK59" s="25" t="s">
        <v>117</v>
      </c>
      <c r="BL59" s="75"/>
      <c r="BM59" s="25" t="s">
        <v>117</v>
      </c>
      <c r="BN59" s="75"/>
      <c r="BO59" s="25" t="s">
        <v>117</v>
      </c>
      <c r="BP59" s="75"/>
      <c r="BQ59" s="25" t="s">
        <v>117</v>
      </c>
      <c r="BR59" s="47">
        <v>15000</v>
      </c>
      <c r="BS59" s="25" t="s">
        <v>115</v>
      </c>
      <c r="BT59" s="75"/>
      <c r="BU59" s="25" t="s">
        <v>117</v>
      </c>
      <c r="BV59" s="75"/>
      <c r="BW59" s="25" t="s">
        <v>117</v>
      </c>
      <c r="BX59" s="75"/>
      <c r="BY59" s="25" t="s">
        <v>117</v>
      </c>
      <c r="BZ59" s="46"/>
      <c r="CA59" s="25" t="s">
        <v>117</v>
      </c>
      <c r="CB59" s="45" t="s">
        <v>568</v>
      </c>
      <c r="CC59" s="25" t="s">
        <v>116</v>
      </c>
      <c r="CD59" s="75"/>
      <c r="CE59" s="25" t="s">
        <v>117</v>
      </c>
      <c r="CF59" s="75"/>
      <c r="CG59" s="25" t="s">
        <v>117</v>
      </c>
      <c r="CH59" s="151">
        <v>5000</v>
      </c>
      <c r="CI59" s="25" t="s">
        <v>116</v>
      </c>
      <c r="CJ59" s="151">
        <v>2500</v>
      </c>
      <c r="CK59" s="48" t="s">
        <v>116</v>
      </c>
      <c r="CL59" s="46">
        <v>1500</v>
      </c>
      <c r="CM59" s="48" t="s">
        <v>116</v>
      </c>
      <c r="CN59" s="46">
        <v>1500</v>
      </c>
      <c r="CO59" s="25" t="s">
        <v>116</v>
      </c>
      <c r="CP59" s="30">
        <v>400</v>
      </c>
      <c r="CQ59" s="23" t="s">
        <v>115</v>
      </c>
      <c r="CR59" s="30">
        <v>300</v>
      </c>
      <c r="CS59" s="23" t="s">
        <v>115</v>
      </c>
      <c r="CT59" s="32"/>
      <c r="CU59" s="23" t="s">
        <v>117</v>
      </c>
      <c r="CV59" s="30">
        <v>165</v>
      </c>
      <c r="CW59" s="23" t="s">
        <v>115</v>
      </c>
      <c r="CX59" s="32"/>
      <c r="CY59" s="25" t="s">
        <v>117</v>
      </c>
      <c r="CZ59" s="32"/>
      <c r="DA59" s="25" t="s">
        <v>117</v>
      </c>
      <c r="DB59" s="33" t="s">
        <v>120</v>
      </c>
      <c r="DC59" s="25" t="s">
        <v>116</v>
      </c>
      <c r="DD59" s="34">
        <f t="shared" si="9"/>
        <v>1705</v>
      </c>
      <c r="DE59" t="s">
        <v>569</v>
      </c>
      <c r="DF59" t="str">
        <f t="shared" si="10"/>
        <v>Cayman Islands#Fund#Cayman Islands Exempt Company</v>
      </c>
      <c r="DG59" t="b">
        <f t="shared" si="11"/>
        <v>1</v>
      </c>
    </row>
    <row r="60" spans="1:111" ht="78.75" customHeight="1" x14ac:dyDescent="0.35">
      <c r="A60" s="42" t="s">
        <v>482</v>
      </c>
      <c r="B60" s="18" t="s">
        <v>382</v>
      </c>
      <c r="C60" s="42" t="s">
        <v>141</v>
      </c>
      <c r="D60" s="43" t="s">
        <v>570</v>
      </c>
      <c r="E60" s="42" t="s">
        <v>90</v>
      </c>
      <c r="F60" s="20" t="s">
        <v>162</v>
      </c>
      <c r="G60" s="20" t="s">
        <v>571</v>
      </c>
      <c r="H60" s="20" t="s">
        <v>145</v>
      </c>
      <c r="I60" s="20" t="s">
        <v>146</v>
      </c>
      <c r="J60" s="20" t="s">
        <v>486</v>
      </c>
      <c r="K60" s="20" t="s">
        <v>96</v>
      </c>
      <c r="L60" s="20" t="s">
        <v>97</v>
      </c>
      <c r="M60" s="20" t="s">
        <v>98</v>
      </c>
      <c r="N60" s="20" t="s">
        <v>147</v>
      </c>
      <c r="O60" s="20" t="s">
        <v>148</v>
      </c>
      <c r="P60" s="20" t="s">
        <v>149</v>
      </c>
      <c r="Q60" s="20" t="s">
        <v>150</v>
      </c>
      <c r="R60" s="20" t="s">
        <v>151</v>
      </c>
      <c r="S60" s="20" t="s">
        <v>152</v>
      </c>
      <c r="T60" s="20" t="s">
        <v>153</v>
      </c>
      <c r="U60" s="20" t="s">
        <v>154</v>
      </c>
      <c r="V60" s="21" t="s">
        <v>292</v>
      </c>
      <c r="W60" s="21" t="s">
        <v>108</v>
      </c>
      <c r="X60" s="21" t="s">
        <v>572</v>
      </c>
      <c r="Y60" s="21" t="s">
        <v>573</v>
      </c>
      <c r="Z60" s="21" t="s">
        <v>111</v>
      </c>
      <c r="AA60" s="21" t="s">
        <v>166</v>
      </c>
      <c r="AB60" s="21" t="s">
        <v>574</v>
      </c>
      <c r="AC60" s="21" t="s">
        <v>575</v>
      </c>
      <c r="AE60" s="23" t="s">
        <v>115</v>
      </c>
      <c r="AF60" s="44"/>
      <c r="AG60" s="23" t="s">
        <v>116</v>
      </c>
      <c r="AH60" s="44"/>
      <c r="AI60" s="25" t="s">
        <v>117</v>
      </c>
      <c r="AJ60" s="44"/>
      <c r="AK60" s="25" t="s">
        <v>117</v>
      </c>
      <c r="AL60" s="22">
        <v>0</v>
      </c>
      <c r="AM60" s="23" t="s">
        <v>115</v>
      </c>
      <c r="AN60" s="44"/>
      <c r="AO60" s="25" t="s">
        <v>117</v>
      </c>
      <c r="AP60" s="45" t="s">
        <v>118</v>
      </c>
      <c r="AQ60" s="23" t="s">
        <v>115</v>
      </c>
      <c r="AR60" s="46"/>
      <c r="AS60" s="23" t="s">
        <v>117</v>
      </c>
      <c r="AT60" s="45" t="s">
        <v>118</v>
      </c>
      <c r="AU60" s="23" t="s">
        <v>116</v>
      </c>
      <c r="AV60" s="61"/>
      <c r="AW60" s="23"/>
      <c r="AX60" s="61"/>
      <c r="AY60" s="23" t="s">
        <v>115</v>
      </c>
      <c r="AZ60" s="22">
        <v>1189.93</v>
      </c>
      <c r="BA60" s="23" t="s">
        <v>115</v>
      </c>
      <c r="BB60" s="22">
        <v>182.93</v>
      </c>
      <c r="BC60" s="23" t="s">
        <v>115</v>
      </c>
      <c r="BD60" s="45" t="s">
        <v>118</v>
      </c>
      <c r="BE60" s="23" t="s">
        <v>115</v>
      </c>
      <c r="BF60" s="45" t="s">
        <v>118</v>
      </c>
      <c r="BG60" s="23" t="s">
        <v>115</v>
      </c>
      <c r="BH60" s="46"/>
      <c r="BI60" s="25" t="s">
        <v>117</v>
      </c>
      <c r="BJ60" s="46"/>
      <c r="BK60" s="25" t="s">
        <v>117</v>
      </c>
      <c r="BL60" s="46"/>
      <c r="BM60" s="25" t="s">
        <v>117</v>
      </c>
      <c r="BN60" s="46"/>
      <c r="BO60" s="25" t="s">
        <v>117</v>
      </c>
      <c r="BP60" s="46"/>
      <c r="BQ60" s="25" t="s">
        <v>117</v>
      </c>
      <c r="BR60" s="47">
        <v>15000</v>
      </c>
      <c r="BS60" s="25" t="s">
        <v>115</v>
      </c>
      <c r="BT60" s="46"/>
      <c r="BU60" s="25" t="s">
        <v>117</v>
      </c>
      <c r="BV60" s="46"/>
      <c r="BW60" s="25" t="s">
        <v>117</v>
      </c>
      <c r="BX60" s="46"/>
      <c r="BY60" s="25" t="s">
        <v>117</v>
      </c>
      <c r="BZ60" s="46"/>
      <c r="CA60" s="25" t="s">
        <v>117</v>
      </c>
      <c r="CB60" s="45" t="s">
        <v>568</v>
      </c>
      <c r="CC60" s="25" t="s">
        <v>116</v>
      </c>
      <c r="CD60" s="46"/>
      <c r="CE60" s="25" t="s">
        <v>117</v>
      </c>
      <c r="CF60" s="46"/>
      <c r="CG60" s="25" t="s">
        <v>117</v>
      </c>
      <c r="CH60" s="151">
        <v>5000</v>
      </c>
      <c r="CI60" s="25" t="s">
        <v>116</v>
      </c>
      <c r="CJ60" s="151">
        <v>2500</v>
      </c>
      <c r="CK60" s="48" t="s">
        <v>116</v>
      </c>
      <c r="CL60" s="46">
        <v>1500</v>
      </c>
      <c r="CM60" s="48" t="s">
        <v>116</v>
      </c>
      <c r="CN60" s="46">
        <v>1500</v>
      </c>
      <c r="CO60" s="25" t="s">
        <v>116</v>
      </c>
      <c r="CP60" s="30">
        <v>400</v>
      </c>
      <c r="CQ60" s="23" t="s">
        <v>115</v>
      </c>
      <c r="CR60" s="30">
        <v>300</v>
      </c>
      <c r="CS60" s="23" t="s">
        <v>115</v>
      </c>
      <c r="CT60" s="32"/>
      <c r="CU60" s="23" t="s">
        <v>117</v>
      </c>
      <c r="CV60" s="30">
        <v>165</v>
      </c>
      <c r="CW60" s="23" t="s">
        <v>115</v>
      </c>
      <c r="CX60" s="32"/>
      <c r="CY60" s="25" t="s">
        <v>117</v>
      </c>
      <c r="CZ60" s="32"/>
      <c r="DA60" s="25" t="s">
        <v>117</v>
      </c>
      <c r="DB60" s="33" t="s">
        <v>120</v>
      </c>
      <c r="DC60" s="25" t="s">
        <v>116</v>
      </c>
      <c r="DD60" s="34">
        <f t="shared" si="9"/>
        <v>1705</v>
      </c>
      <c r="DE60" t="s">
        <v>576</v>
      </c>
      <c r="DF60" t="str">
        <f t="shared" si="10"/>
        <v>Cayman Islands#Fund#Cayman Islands Exempt LP</v>
      </c>
      <c r="DG60" t="b">
        <f t="shared" si="11"/>
        <v>1</v>
      </c>
    </row>
    <row r="61" spans="1:111" ht="15" customHeight="1" x14ac:dyDescent="0.35">
      <c r="A61" s="35" t="s">
        <v>482</v>
      </c>
      <c r="B61" s="18" t="s">
        <v>382</v>
      </c>
      <c r="C61" s="35" t="s">
        <v>141</v>
      </c>
      <c r="D61" s="36" t="s">
        <v>512</v>
      </c>
      <c r="E61" s="35" t="s">
        <v>90</v>
      </c>
      <c r="F61" s="20" t="s">
        <v>513</v>
      </c>
      <c r="G61" s="20" t="s">
        <v>577</v>
      </c>
      <c r="H61" s="20" t="s">
        <v>145</v>
      </c>
      <c r="I61" s="20" t="s">
        <v>146</v>
      </c>
      <c r="J61" s="20" t="s">
        <v>486</v>
      </c>
      <c r="K61" s="20" t="s">
        <v>96</v>
      </c>
      <c r="L61" s="20" t="s">
        <v>97</v>
      </c>
      <c r="M61" s="20" t="s">
        <v>98</v>
      </c>
      <c r="N61" s="20" t="s">
        <v>147</v>
      </c>
      <c r="O61" s="20" t="s">
        <v>148</v>
      </c>
      <c r="P61" s="20" t="s">
        <v>149</v>
      </c>
      <c r="Q61" s="20" t="s">
        <v>150</v>
      </c>
      <c r="R61" s="20" t="s">
        <v>151</v>
      </c>
      <c r="S61" s="20" t="s">
        <v>152</v>
      </c>
      <c r="T61" s="20" t="s">
        <v>153</v>
      </c>
      <c r="U61" s="20" t="s">
        <v>154</v>
      </c>
      <c r="V61" s="21" t="s">
        <v>292</v>
      </c>
      <c r="W61" s="21" t="s">
        <v>108</v>
      </c>
      <c r="X61" s="21" t="s">
        <v>109</v>
      </c>
      <c r="Y61" s="21" t="s">
        <v>578</v>
      </c>
      <c r="Z61" s="21" t="s">
        <v>111</v>
      </c>
      <c r="AA61" s="21" t="s">
        <v>112</v>
      </c>
      <c r="AB61" s="21" t="s">
        <v>579</v>
      </c>
      <c r="AC61" s="21" t="s">
        <v>580</v>
      </c>
      <c r="AE61" s="23" t="s">
        <v>115</v>
      </c>
      <c r="AF61" s="38"/>
      <c r="AG61" s="23" t="s">
        <v>116</v>
      </c>
      <c r="AH61" s="38"/>
      <c r="AI61" s="25" t="s">
        <v>117</v>
      </c>
      <c r="AJ61" s="38"/>
      <c r="AK61" s="25" t="s">
        <v>117</v>
      </c>
      <c r="AL61" s="22">
        <v>0</v>
      </c>
      <c r="AM61" s="23" t="s">
        <v>115</v>
      </c>
      <c r="AN61" s="38"/>
      <c r="AO61" s="25" t="s">
        <v>117</v>
      </c>
      <c r="AP61" s="39" t="s">
        <v>118</v>
      </c>
      <c r="AQ61" s="23" t="s">
        <v>115</v>
      </c>
      <c r="AR61" s="40"/>
      <c r="AS61" s="23" t="s">
        <v>117</v>
      </c>
      <c r="AT61" s="39" t="s">
        <v>118</v>
      </c>
      <c r="AU61" s="23" t="s">
        <v>116</v>
      </c>
      <c r="AV61" s="61"/>
      <c r="AW61" s="23" t="s">
        <v>115</v>
      </c>
      <c r="AX61" s="61"/>
      <c r="AY61" s="23" t="s">
        <v>115</v>
      </c>
      <c r="AZ61" s="22">
        <v>1189.93</v>
      </c>
      <c r="BA61" s="23" t="s">
        <v>115</v>
      </c>
      <c r="BB61" s="22">
        <v>182.93</v>
      </c>
      <c r="BC61" s="23" t="s">
        <v>115</v>
      </c>
      <c r="BD61" s="39" t="s">
        <v>118</v>
      </c>
      <c r="BE61" s="23" t="s">
        <v>115</v>
      </c>
      <c r="BF61" s="39" t="s">
        <v>118</v>
      </c>
      <c r="BG61" s="23" t="s">
        <v>115</v>
      </c>
      <c r="BH61" s="40"/>
      <c r="BI61" s="25" t="s">
        <v>117</v>
      </c>
      <c r="BJ61" s="40"/>
      <c r="BK61" s="25" t="s">
        <v>117</v>
      </c>
      <c r="BL61" s="40"/>
      <c r="BM61" s="25" t="s">
        <v>117</v>
      </c>
      <c r="BN61" s="40"/>
      <c r="BO61" s="25" t="s">
        <v>117</v>
      </c>
      <c r="BP61" s="40"/>
      <c r="BQ61" s="25" t="s">
        <v>117</v>
      </c>
      <c r="BR61" s="37">
        <v>15000</v>
      </c>
      <c r="BS61" s="25" t="s">
        <v>115</v>
      </c>
      <c r="BT61" s="40"/>
      <c r="BU61" s="25" t="s">
        <v>117</v>
      </c>
      <c r="BV61" s="40"/>
      <c r="BW61" s="25" t="s">
        <v>117</v>
      </c>
      <c r="BX61" s="40"/>
      <c r="BY61" s="25" t="s">
        <v>117</v>
      </c>
      <c r="BZ61" s="46"/>
      <c r="CA61" s="25" t="s">
        <v>117</v>
      </c>
      <c r="CB61" s="45" t="s">
        <v>568</v>
      </c>
      <c r="CC61" s="25" t="s">
        <v>116</v>
      </c>
      <c r="CD61" s="40"/>
      <c r="CE61" s="25" t="s">
        <v>117</v>
      </c>
      <c r="CF61" s="40"/>
      <c r="CG61" s="25" t="s">
        <v>117</v>
      </c>
      <c r="CH61" s="151">
        <v>10000</v>
      </c>
      <c r="CI61" s="25" t="s">
        <v>116</v>
      </c>
      <c r="CJ61" s="151">
        <v>2500</v>
      </c>
      <c r="CK61" s="48" t="s">
        <v>116</v>
      </c>
      <c r="CL61" s="46">
        <v>1500</v>
      </c>
      <c r="CM61" s="48" t="s">
        <v>116</v>
      </c>
      <c r="CN61" s="46">
        <v>1500</v>
      </c>
      <c r="CO61" s="25" t="s">
        <v>116</v>
      </c>
      <c r="CP61" s="30">
        <v>400</v>
      </c>
      <c r="CQ61" s="23" t="s">
        <v>115</v>
      </c>
      <c r="CR61" s="30">
        <v>300</v>
      </c>
      <c r="CS61" s="23" t="s">
        <v>115</v>
      </c>
      <c r="CT61" s="32"/>
      <c r="CU61" s="23" t="s">
        <v>117</v>
      </c>
      <c r="CV61" s="30">
        <v>165</v>
      </c>
      <c r="CW61" s="23" t="s">
        <v>115</v>
      </c>
      <c r="CX61" s="32"/>
      <c r="CY61" s="25" t="s">
        <v>117</v>
      </c>
      <c r="CZ61" s="32"/>
      <c r="DA61" s="25" t="s">
        <v>117</v>
      </c>
      <c r="DB61" s="33" t="s">
        <v>120</v>
      </c>
      <c r="DC61" s="25" t="s">
        <v>116</v>
      </c>
      <c r="DD61" s="34">
        <f t="shared" si="9"/>
        <v>1705</v>
      </c>
      <c r="DE61" t="s">
        <v>581</v>
      </c>
      <c r="DF61" t="str">
        <f t="shared" si="10"/>
        <v>Cayman Islands#Fund#Cayman Islands LLC</v>
      </c>
      <c r="DG61" t="b">
        <f t="shared" si="11"/>
        <v>1</v>
      </c>
    </row>
    <row r="62" spans="1:111" ht="78.75" customHeight="1" x14ac:dyDescent="0.35">
      <c r="A62" s="18" t="s">
        <v>482</v>
      </c>
      <c r="B62" s="18" t="s">
        <v>382</v>
      </c>
      <c r="C62" s="18" t="s">
        <v>141</v>
      </c>
      <c r="D62" s="19" t="s">
        <v>506</v>
      </c>
      <c r="E62" s="18" t="s">
        <v>90</v>
      </c>
      <c r="F62" s="20" t="s">
        <v>326</v>
      </c>
      <c r="G62" s="20" t="s">
        <v>582</v>
      </c>
      <c r="H62" s="20" t="s">
        <v>145</v>
      </c>
      <c r="I62" s="20" t="s">
        <v>146</v>
      </c>
      <c r="J62" s="20" t="s">
        <v>486</v>
      </c>
      <c r="K62" s="20" t="s">
        <v>96</v>
      </c>
      <c r="L62" s="20" t="s">
        <v>97</v>
      </c>
      <c r="M62" s="20" t="s">
        <v>98</v>
      </c>
      <c r="N62" s="20" t="s">
        <v>147</v>
      </c>
      <c r="O62" s="20" t="s">
        <v>148</v>
      </c>
      <c r="P62" s="20" t="s">
        <v>149</v>
      </c>
      <c r="Q62" s="20" t="s">
        <v>150</v>
      </c>
      <c r="R62" s="20" t="s">
        <v>151</v>
      </c>
      <c r="S62" s="20" t="s">
        <v>152</v>
      </c>
      <c r="T62" s="20" t="s">
        <v>153</v>
      </c>
      <c r="U62" s="20" t="s">
        <v>154</v>
      </c>
      <c r="V62" s="21" t="s">
        <v>180</v>
      </c>
      <c r="W62" s="21" t="s">
        <v>108</v>
      </c>
      <c r="X62" s="21" t="s">
        <v>181</v>
      </c>
      <c r="Y62" s="21" t="s">
        <v>583</v>
      </c>
      <c r="Z62" s="21" t="s">
        <v>111</v>
      </c>
      <c r="AA62" s="21" t="s">
        <v>112</v>
      </c>
      <c r="AB62" s="21" t="s">
        <v>584</v>
      </c>
      <c r="AC62" s="21" t="s">
        <v>585</v>
      </c>
      <c r="AE62" s="23" t="s">
        <v>115</v>
      </c>
      <c r="AF62" s="24"/>
      <c r="AG62" s="23" t="s">
        <v>116</v>
      </c>
      <c r="AH62" s="24"/>
      <c r="AI62" s="25" t="s">
        <v>117</v>
      </c>
      <c r="AJ62" s="24"/>
      <c r="AK62" s="25" t="s">
        <v>117</v>
      </c>
      <c r="AL62" s="22">
        <v>0</v>
      </c>
      <c r="AM62" s="23" t="s">
        <v>115</v>
      </c>
      <c r="AN62" s="24"/>
      <c r="AO62" s="25" t="s">
        <v>117</v>
      </c>
      <c r="AP62" s="24"/>
      <c r="AQ62" s="23" t="s">
        <v>115</v>
      </c>
      <c r="AR62" s="24"/>
      <c r="AS62" s="23" t="s">
        <v>117</v>
      </c>
      <c r="AT62" s="27" t="s">
        <v>118</v>
      </c>
      <c r="AU62" s="23" t="s">
        <v>116</v>
      </c>
      <c r="AV62" s="22"/>
      <c r="AW62" s="23" t="s">
        <v>115</v>
      </c>
      <c r="AX62" s="22"/>
      <c r="AY62" s="23" t="s">
        <v>115</v>
      </c>
      <c r="AZ62" s="61">
        <v>3446</v>
      </c>
      <c r="BA62" s="23" t="s">
        <v>115</v>
      </c>
      <c r="BB62" s="61">
        <v>182.93</v>
      </c>
      <c r="BC62" s="23" t="s">
        <v>115</v>
      </c>
      <c r="BD62" s="27" t="s">
        <v>118</v>
      </c>
      <c r="BE62" s="23" t="s">
        <v>115</v>
      </c>
      <c r="BF62" s="27" t="s">
        <v>118</v>
      </c>
      <c r="BG62" s="23" t="s">
        <v>115</v>
      </c>
      <c r="BH62" s="28"/>
      <c r="BI62" s="25" t="s">
        <v>117</v>
      </c>
      <c r="BJ62" s="28"/>
      <c r="BK62" s="25" t="s">
        <v>117</v>
      </c>
      <c r="BL62" s="28"/>
      <c r="BM62" s="25" t="s">
        <v>117</v>
      </c>
      <c r="BN62" s="28"/>
      <c r="BO62" s="25" t="s">
        <v>117</v>
      </c>
      <c r="BP62" s="28"/>
      <c r="BQ62" s="25" t="s">
        <v>117</v>
      </c>
      <c r="BR62" s="37">
        <v>15000</v>
      </c>
      <c r="BS62" s="25" t="s">
        <v>115</v>
      </c>
      <c r="BT62" s="28"/>
      <c r="BU62" s="25" t="s">
        <v>117</v>
      </c>
      <c r="BV62" s="28"/>
      <c r="BW62" s="25" t="s">
        <v>117</v>
      </c>
      <c r="BX62" s="28"/>
      <c r="BY62" s="25" t="s">
        <v>117</v>
      </c>
      <c r="BZ62" s="46"/>
      <c r="CA62" s="25" t="s">
        <v>117</v>
      </c>
      <c r="CB62" s="45" t="s">
        <v>568</v>
      </c>
      <c r="CC62" s="25" t="s">
        <v>116</v>
      </c>
      <c r="CD62" s="28"/>
      <c r="CE62" s="25" t="s">
        <v>117</v>
      </c>
      <c r="CF62" s="28"/>
      <c r="CG62" s="25" t="s">
        <v>117</v>
      </c>
      <c r="CH62" s="151">
        <v>10000</v>
      </c>
      <c r="CI62" s="25" t="s">
        <v>116</v>
      </c>
      <c r="CJ62" s="151">
        <v>2500</v>
      </c>
      <c r="CK62" s="48" t="s">
        <v>116</v>
      </c>
      <c r="CL62" s="46">
        <v>1500</v>
      </c>
      <c r="CM62" s="48" t="s">
        <v>116</v>
      </c>
      <c r="CN62" s="46">
        <v>1500</v>
      </c>
      <c r="CO62" s="25" t="s">
        <v>116</v>
      </c>
      <c r="CP62" s="30">
        <v>400</v>
      </c>
      <c r="CQ62" s="23" t="s">
        <v>115</v>
      </c>
      <c r="CR62" s="30">
        <v>300</v>
      </c>
      <c r="CS62" s="23" t="s">
        <v>115</v>
      </c>
      <c r="CT62" s="32"/>
      <c r="CU62" s="23" t="s">
        <v>117</v>
      </c>
      <c r="CV62" s="30">
        <v>165</v>
      </c>
      <c r="CW62" s="23" t="s">
        <v>115</v>
      </c>
      <c r="CX62" s="32"/>
      <c r="CY62" s="25" t="s">
        <v>117</v>
      </c>
      <c r="CZ62" s="32"/>
      <c r="DA62" s="25" t="s">
        <v>117</v>
      </c>
      <c r="DB62" s="33" t="s">
        <v>120</v>
      </c>
      <c r="DC62" s="25" t="s">
        <v>116</v>
      </c>
      <c r="DD62" s="34">
        <f t="shared" si="9"/>
        <v>1875</v>
      </c>
      <c r="DE62" t="s">
        <v>586</v>
      </c>
      <c r="DF62" t="str">
        <f t="shared" si="10"/>
        <v>Cayman Islands#Fund#Cayman Islands SPC</v>
      </c>
      <c r="DG62" t="b">
        <f t="shared" si="11"/>
        <v>1</v>
      </c>
    </row>
    <row r="63" spans="1:111" ht="78.75" customHeight="1" x14ac:dyDescent="0.35">
      <c r="A63" s="35" t="s">
        <v>482</v>
      </c>
      <c r="B63" s="18" t="s">
        <v>382</v>
      </c>
      <c r="C63" s="35" t="s">
        <v>141</v>
      </c>
      <c r="D63" s="36" t="s">
        <v>587</v>
      </c>
      <c r="E63" s="35" t="s">
        <v>90</v>
      </c>
      <c r="F63" s="20" t="s">
        <v>171</v>
      </c>
      <c r="G63" s="20" t="s">
        <v>588</v>
      </c>
      <c r="H63" s="20" t="s">
        <v>145</v>
      </c>
      <c r="I63" s="20" t="s">
        <v>146</v>
      </c>
      <c r="J63" s="20" t="s">
        <v>486</v>
      </c>
      <c r="K63" s="20" t="s">
        <v>96</v>
      </c>
      <c r="L63" s="20" t="s">
        <v>97</v>
      </c>
      <c r="M63" s="20" t="s">
        <v>98</v>
      </c>
      <c r="N63" s="20" t="s">
        <v>147</v>
      </c>
      <c r="O63" s="20" t="s">
        <v>148</v>
      </c>
      <c r="P63" s="20" t="s">
        <v>149</v>
      </c>
      <c r="Q63" s="20" t="s">
        <v>150</v>
      </c>
      <c r="R63" s="20" t="s">
        <v>151</v>
      </c>
      <c r="S63" s="20" t="s">
        <v>152</v>
      </c>
      <c r="T63" s="20" t="s">
        <v>153</v>
      </c>
      <c r="U63" s="20" t="s">
        <v>154</v>
      </c>
      <c r="V63" s="21" t="s">
        <v>267</v>
      </c>
      <c r="W63" s="21" t="s">
        <v>108</v>
      </c>
      <c r="X63" s="21" t="s">
        <v>109</v>
      </c>
      <c r="Y63" s="21" t="s">
        <v>558</v>
      </c>
      <c r="Z63" s="21" t="s">
        <v>111</v>
      </c>
      <c r="AA63" s="21" t="s">
        <v>173</v>
      </c>
      <c r="AB63" s="21" t="s">
        <v>589</v>
      </c>
      <c r="AC63" s="21" t="s">
        <v>590</v>
      </c>
      <c r="AE63" s="23" t="s">
        <v>115</v>
      </c>
      <c r="AF63" s="38"/>
      <c r="AG63" s="23" t="s">
        <v>116</v>
      </c>
      <c r="AH63" s="38"/>
      <c r="AI63" s="25" t="s">
        <v>117</v>
      </c>
      <c r="AJ63" s="38"/>
      <c r="AK63" s="25" t="s">
        <v>117</v>
      </c>
      <c r="AL63" s="22">
        <v>0</v>
      </c>
      <c r="AM63" s="23" t="s">
        <v>115</v>
      </c>
      <c r="AN63" s="38"/>
      <c r="AO63" s="25" t="s">
        <v>117</v>
      </c>
      <c r="AP63" s="39" t="s">
        <v>118</v>
      </c>
      <c r="AQ63" s="23" t="s">
        <v>115</v>
      </c>
      <c r="AR63" s="40"/>
      <c r="AS63" s="23" t="s">
        <v>117</v>
      </c>
      <c r="AT63" s="39" t="s">
        <v>118</v>
      </c>
      <c r="AU63" s="23" t="s">
        <v>116</v>
      </c>
      <c r="AV63" s="22"/>
      <c r="AW63" s="23" t="s">
        <v>115</v>
      </c>
      <c r="AX63" s="22"/>
      <c r="AY63" s="23" t="s">
        <v>115</v>
      </c>
      <c r="AZ63" s="22">
        <v>1189.93</v>
      </c>
      <c r="BA63" s="23" t="s">
        <v>115</v>
      </c>
      <c r="BB63" s="22">
        <v>182.93</v>
      </c>
      <c r="BC63" s="23" t="s">
        <v>115</v>
      </c>
      <c r="BD63" s="39" t="s">
        <v>118</v>
      </c>
      <c r="BE63" s="23" t="s">
        <v>115</v>
      </c>
      <c r="BF63" s="39" t="s">
        <v>118</v>
      </c>
      <c r="BG63" s="23" t="s">
        <v>115</v>
      </c>
      <c r="BH63" s="40"/>
      <c r="BI63" s="25" t="s">
        <v>117</v>
      </c>
      <c r="BJ63" s="40"/>
      <c r="BK63" s="25" t="s">
        <v>117</v>
      </c>
      <c r="BL63" s="40"/>
      <c r="BM63" s="25" t="s">
        <v>117</v>
      </c>
      <c r="BN63" s="40"/>
      <c r="BO63" s="25" t="s">
        <v>117</v>
      </c>
      <c r="BP63" s="40"/>
      <c r="BQ63" s="25" t="s">
        <v>117</v>
      </c>
      <c r="BR63" s="37">
        <v>15000</v>
      </c>
      <c r="BS63" s="25" t="s">
        <v>115</v>
      </c>
      <c r="BT63" s="40"/>
      <c r="BU63" s="25" t="s">
        <v>117</v>
      </c>
      <c r="BV63" s="40"/>
      <c r="BW63" s="25" t="s">
        <v>117</v>
      </c>
      <c r="BX63" s="40"/>
      <c r="BY63" s="25" t="s">
        <v>117</v>
      </c>
      <c r="BZ63" s="46"/>
      <c r="CA63" s="25" t="s">
        <v>117</v>
      </c>
      <c r="CB63" s="45" t="s">
        <v>159</v>
      </c>
      <c r="CC63" s="25" t="s">
        <v>116</v>
      </c>
      <c r="CD63" s="40"/>
      <c r="CE63" s="25" t="s">
        <v>117</v>
      </c>
      <c r="CF63" s="40"/>
      <c r="CG63" s="25" t="s">
        <v>117</v>
      </c>
      <c r="CH63" s="151">
        <v>10000</v>
      </c>
      <c r="CI63" s="25" t="s">
        <v>116</v>
      </c>
      <c r="CJ63" s="151">
        <v>2500</v>
      </c>
      <c r="CK63" s="48" t="s">
        <v>116</v>
      </c>
      <c r="CL63" s="46">
        <v>1500</v>
      </c>
      <c r="CM63" s="48" t="s">
        <v>116</v>
      </c>
      <c r="CN63" s="46">
        <v>1500</v>
      </c>
      <c r="CO63" s="25" t="s">
        <v>116</v>
      </c>
      <c r="CP63" s="30">
        <v>400</v>
      </c>
      <c r="CQ63" s="23" t="s">
        <v>115</v>
      </c>
      <c r="CR63" s="30">
        <v>300</v>
      </c>
      <c r="CS63" s="23" t="s">
        <v>115</v>
      </c>
      <c r="CT63" s="32"/>
      <c r="CU63" s="23" t="s">
        <v>117</v>
      </c>
      <c r="CV63" s="30">
        <v>165</v>
      </c>
      <c r="CW63" s="23" t="s">
        <v>115</v>
      </c>
      <c r="CX63" s="32"/>
      <c r="CY63" s="25" t="s">
        <v>117</v>
      </c>
      <c r="CZ63" s="32"/>
      <c r="DA63" s="25" t="s">
        <v>117</v>
      </c>
      <c r="DB63" s="33" t="s">
        <v>120</v>
      </c>
      <c r="DC63" s="25" t="s">
        <v>116</v>
      </c>
      <c r="DD63" s="34">
        <f t="shared" si="9"/>
        <v>1705</v>
      </c>
      <c r="DE63" t="s">
        <v>591</v>
      </c>
      <c r="DF63" t="str">
        <f t="shared" si="10"/>
        <v>Cayman Islands#Fund#Cayman Islands Unit Trust</v>
      </c>
      <c r="DG63" t="b">
        <f t="shared" si="11"/>
        <v>1</v>
      </c>
    </row>
    <row r="64" spans="1:111" ht="78.75" hidden="1" customHeight="1" x14ac:dyDescent="0.35">
      <c r="A64" s="184" t="s">
        <v>592</v>
      </c>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c r="AA64" s="184"/>
      <c r="AB64" s="184"/>
      <c r="AC64" s="184"/>
      <c r="AD64" s="184"/>
      <c r="AE64" s="184"/>
      <c r="AF64" s="184"/>
      <c r="AG64" s="184"/>
      <c r="AH64" s="184"/>
      <c r="AI64" s="184"/>
      <c r="AJ64" s="184"/>
      <c r="AK64" s="184"/>
      <c r="AL64" s="184"/>
      <c r="AM64" s="184"/>
      <c r="AN64" s="184"/>
      <c r="AO64" s="184"/>
      <c r="AP64" s="184"/>
      <c r="AQ64" s="184"/>
      <c r="AR64" s="184"/>
      <c r="AS64" s="184"/>
      <c r="AT64" s="184"/>
      <c r="AU64" s="184"/>
      <c r="AV64" s="184"/>
      <c r="AW64" s="184"/>
      <c r="AX64" s="184"/>
      <c r="AY64" s="184"/>
      <c r="AZ64" s="184"/>
      <c r="BA64" s="184"/>
      <c r="BB64" s="184"/>
      <c r="BC64" s="184"/>
      <c r="BD64" s="184"/>
      <c r="BE64" s="184"/>
      <c r="BF64" s="184"/>
      <c r="BG64" s="184"/>
      <c r="BH64" s="184"/>
      <c r="BI64" s="184"/>
      <c r="BJ64" s="184"/>
      <c r="BK64" s="184"/>
      <c r="BL64" s="184"/>
      <c r="BM64" s="184"/>
      <c r="BN64" s="184"/>
      <c r="BO64" s="184"/>
      <c r="BP64" s="184"/>
      <c r="BQ64" s="184"/>
      <c r="BR64" s="184"/>
      <c r="BS64" s="184"/>
      <c r="BT64" s="184"/>
      <c r="BU64" s="184"/>
      <c r="BV64" s="184"/>
      <c r="BW64" s="184"/>
      <c r="BX64" s="184"/>
      <c r="BY64" s="184"/>
      <c r="BZ64" s="184"/>
      <c r="CA64" s="184"/>
      <c r="CB64" s="184"/>
      <c r="CC64" s="184"/>
      <c r="CD64" s="184"/>
      <c r="CE64" s="184"/>
      <c r="CF64" s="184"/>
      <c r="CG64" s="184"/>
      <c r="CH64" s="184"/>
      <c r="CI64" s="184"/>
      <c r="CJ64" s="184"/>
      <c r="CK64" s="184"/>
      <c r="CL64" s="184"/>
      <c r="CM64" s="184"/>
      <c r="CN64" s="184"/>
      <c r="CO64" s="184"/>
      <c r="CP64" s="184"/>
      <c r="CQ64" s="184"/>
      <c r="CR64" s="184"/>
      <c r="CS64" s="184"/>
      <c r="CT64" s="184"/>
      <c r="CU64" s="184"/>
      <c r="CV64" s="184"/>
      <c r="CW64" s="184"/>
      <c r="CX64" s="184"/>
      <c r="CY64" s="184"/>
      <c r="CZ64" s="184"/>
      <c r="DA64" s="184"/>
      <c r="DB64" s="184"/>
      <c r="DC64" s="184"/>
      <c r="DE64" t="s">
        <v>85</v>
      </c>
      <c r="DF64" t="str">
        <f>A61&amp;"#"&amp;C61&amp;"#"&amp;D61</f>
        <v>Cayman Islands#Fund#Cayman Islands LLC</v>
      </c>
    </row>
    <row r="65" spans="1:111" ht="78.75" hidden="1" customHeight="1" x14ac:dyDescent="0.35">
      <c r="A65" s="72" t="s">
        <v>593</v>
      </c>
      <c r="B65" s="18" t="s">
        <v>594</v>
      </c>
      <c r="C65" s="72" t="s">
        <v>88</v>
      </c>
      <c r="D65" s="73" t="s">
        <v>595</v>
      </c>
      <c r="E65" s="72" t="s">
        <v>90</v>
      </c>
      <c r="F65" s="20" t="s">
        <v>596</v>
      </c>
      <c r="G65" s="20" t="s">
        <v>597</v>
      </c>
      <c r="H65" s="20" t="s">
        <v>93</v>
      </c>
      <c r="I65" s="20" t="s">
        <v>94</v>
      </c>
      <c r="J65" s="20" t="s">
        <v>598</v>
      </c>
      <c r="K65" s="20" t="s">
        <v>96</v>
      </c>
      <c r="L65" s="20" t="s">
        <v>97</v>
      </c>
      <c r="M65" s="20" t="s">
        <v>98</v>
      </c>
      <c r="N65" s="20" t="s">
        <v>599</v>
      </c>
      <c r="O65" s="20" t="s">
        <v>100</v>
      </c>
      <c r="P65" s="20" t="s">
        <v>101</v>
      </c>
      <c r="Q65" s="20" t="s">
        <v>102</v>
      </c>
      <c r="R65" s="20" t="s">
        <v>103</v>
      </c>
      <c r="S65" s="20" t="s">
        <v>104</v>
      </c>
      <c r="T65" s="20" t="s">
        <v>105</v>
      </c>
      <c r="U65" s="20" t="s">
        <v>106</v>
      </c>
      <c r="V65" s="21" t="s">
        <v>243</v>
      </c>
      <c r="W65" s="21" t="s">
        <v>203</v>
      </c>
      <c r="X65" s="21" t="s">
        <v>109</v>
      </c>
      <c r="Y65" s="21" t="s">
        <v>600</v>
      </c>
      <c r="Z65" s="21" t="s">
        <v>256</v>
      </c>
      <c r="AA65" s="21" t="s">
        <v>601</v>
      </c>
      <c r="AB65" s="21" t="s">
        <v>602</v>
      </c>
      <c r="AC65" s="21" t="s">
        <v>603</v>
      </c>
      <c r="AD65" s="26">
        <v>3930</v>
      </c>
      <c r="AE65" s="23" t="s">
        <v>115</v>
      </c>
      <c r="AF65" s="74"/>
      <c r="AG65" s="23" t="s">
        <v>116</v>
      </c>
      <c r="AH65" s="26">
        <v>1000</v>
      </c>
      <c r="AI65" s="25" t="s">
        <v>116</v>
      </c>
      <c r="AJ65" s="74"/>
      <c r="AK65" s="25" t="s">
        <v>117</v>
      </c>
      <c r="AL65" s="22">
        <v>0</v>
      </c>
      <c r="AM65" s="23" t="s">
        <v>115</v>
      </c>
      <c r="AN65" s="26">
        <v>1500</v>
      </c>
      <c r="AO65" s="25" t="s">
        <v>116</v>
      </c>
      <c r="AP65" s="61">
        <v>6180</v>
      </c>
      <c r="AQ65" s="23" t="s">
        <v>115</v>
      </c>
      <c r="AR65" s="74"/>
      <c r="AS65" s="23" t="s">
        <v>117</v>
      </c>
      <c r="AT65" s="58" t="s">
        <v>118</v>
      </c>
      <c r="AU65" s="23" t="s">
        <v>116</v>
      </c>
      <c r="AV65" s="61">
        <v>2470</v>
      </c>
      <c r="AW65" s="23" t="s">
        <v>115</v>
      </c>
      <c r="AX65" s="58" t="s">
        <v>118</v>
      </c>
      <c r="AY65" s="23" t="s">
        <v>115</v>
      </c>
      <c r="AZ65" s="61">
        <v>1000</v>
      </c>
      <c r="BA65" s="23" t="s">
        <v>115</v>
      </c>
      <c r="BB65" s="74"/>
      <c r="BC65" s="23" t="s">
        <v>115</v>
      </c>
      <c r="BD65" s="26">
        <v>1500</v>
      </c>
      <c r="BE65" s="23" t="s">
        <v>115</v>
      </c>
      <c r="BF65" s="26">
        <v>1500</v>
      </c>
      <c r="BG65" s="23" t="s">
        <v>115</v>
      </c>
      <c r="BH65" s="75"/>
      <c r="BI65" s="25" t="s">
        <v>117</v>
      </c>
      <c r="BJ65" s="75"/>
      <c r="BK65" s="25" t="s">
        <v>117</v>
      </c>
      <c r="BL65" s="75"/>
      <c r="BM65" s="25" t="s">
        <v>117</v>
      </c>
      <c r="BN65" s="75"/>
      <c r="BO65" s="25" t="s">
        <v>117</v>
      </c>
      <c r="BP65" s="75"/>
      <c r="BQ65" s="25" t="s">
        <v>117</v>
      </c>
      <c r="BR65" s="75"/>
      <c r="BS65" s="25" t="s">
        <v>117</v>
      </c>
      <c r="BT65" s="75"/>
      <c r="BU65" s="25" t="s">
        <v>117</v>
      </c>
      <c r="BV65" s="75"/>
      <c r="BW65" s="25" t="s">
        <v>117</v>
      </c>
      <c r="BX65" s="75"/>
      <c r="BY65" s="25" t="s">
        <v>117</v>
      </c>
      <c r="BZ65" s="75"/>
      <c r="CA65" s="25" t="s">
        <v>117</v>
      </c>
      <c r="CB65" s="75"/>
      <c r="CC65" s="25" t="s">
        <v>117</v>
      </c>
      <c r="CD65" s="75"/>
      <c r="CE65" s="25" t="s">
        <v>117</v>
      </c>
      <c r="CF65" s="75"/>
      <c r="CG65" s="25" t="s">
        <v>117</v>
      </c>
      <c r="CH65" s="75"/>
      <c r="CI65" s="25"/>
      <c r="CJ65" s="75"/>
      <c r="CK65" s="62" t="s">
        <v>117</v>
      </c>
      <c r="CL65" s="75"/>
      <c r="CM65" s="62" t="s">
        <v>117</v>
      </c>
      <c r="CN65" s="75"/>
      <c r="CO65" s="25" t="s">
        <v>117</v>
      </c>
      <c r="CP65" s="30">
        <v>400</v>
      </c>
      <c r="CQ65" s="23" t="s">
        <v>115</v>
      </c>
      <c r="CR65" s="32"/>
      <c r="CS65" s="23" t="s">
        <v>117</v>
      </c>
      <c r="CT65" s="32"/>
      <c r="CU65" s="23" t="s">
        <v>117</v>
      </c>
      <c r="CV65" s="32"/>
      <c r="CW65" s="23" t="s">
        <v>117</v>
      </c>
      <c r="CX65" s="32"/>
      <c r="CY65" s="25" t="s">
        <v>117</v>
      </c>
      <c r="CZ65" s="32"/>
      <c r="DA65" s="25" t="s">
        <v>117</v>
      </c>
      <c r="DB65" s="33" t="s">
        <v>120</v>
      </c>
      <c r="DC65" s="25" t="s">
        <v>116</v>
      </c>
      <c r="DD65" s="34">
        <f t="shared" ref="DD65:DD73" si="12">ROUND(0.075*SUM(AD65,AF65,AH65,AJ65,AL65,AN65,AP65,AR65,AT65,AV65,AX65,AZ65,BB65,BR65,BT65,BV65,BX65,BZ65,CB65,CD65,CF65,CJ65,CL65,CN65,CP65,CR65,CT65,CV65,CX65,CZ65),0)</f>
        <v>1236</v>
      </c>
      <c r="DE65" t="s">
        <v>604</v>
      </c>
      <c r="DF65" t="str">
        <f t="shared" ref="DF65:DF73" si="13">A65&amp;"#"&amp;C65&amp;"#"&amp;D65</f>
        <v>Chile#Company#Chile SA</v>
      </c>
      <c r="DG65" t="b">
        <f t="shared" ref="DG65:DG73" si="14">DE65=DF65</f>
        <v>1</v>
      </c>
    </row>
    <row r="66" spans="1:111" ht="78.75" hidden="1" customHeight="1" x14ac:dyDescent="0.35">
      <c r="A66" s="18" t="s">
        <v>593</v>
      </c>
      <c r="B66" s="18" t="s">
        <v>594</v>
      </c>
      <c r="C66" s="18" t="s">
        <v>88</v>
      </c>
      <c r="D66" s="19" t="s">
        <v>605</v>
      </c>
      <c r="E66" s="18" t="s">
        <v>90</v>
      </c>
      <c r="F66" s="20" t="s">
        <v>606</v>
      </c>
      <c r="G66" s="20" t="s">
        <v>607</v>
      </c>
      <c r="H66" s="20" t="s">
        <v>93</v>
      </c>
      <c r="I66" s="20" t="s">
        <v>94</v>
      </c>
      <c r="J66" s="20" t="s">
        <v>598</v>
      </c>
      <c r="K66" s="20" t="s">
        <v>96</v>
      </c>
      <c r="L66" s="20" t="s">
        <v>97</v>
      </c>
      <c r="M66" s="20" t="s">
        <v>98</v>
      </c>
      <c r="N66" s="20" t="s">
        <v>599</v>
      </c>
      <c r="O66" s="20" t="s">
        <v>100</v>
      </c>
      <c r="P66" s="20" t="s">
        <v>101</v>
      </c>
      <c r="Q66" s="20" t="s">
        <v>102</v>
      </c>
      <c r="R66" s="20" t="s">
        <v>103</v>
      </c>
      <c r="S66" s="20" t="s">
        <v>104</v>
      </c>
      <c r="T66" s="20" t="s">
        <v>105</v>
      </c>
      <c r="U66" s="20" t="s">
        <v>106</v>
      </c>
      <c r="V66" s="21" t="s">
        <v>243</v>
      </c>
      <c r="W66" s="21" t="s">
        <v>203</v>
      </c>
      <c r="X66" s="21" t="s">
        <v>109</v>
      </c>
      <c r="Y66" s="21" t="s">
        <v>608</v>
      </c>
      <c r="Z66" s="21" t="s">
        <v>256</v>
      </c>
      <c r="AA66" s="21" t="s">
        <v>112</v>
      </c>
      <c r="AB66" s="21" t="s">
        <v>609</v>
      </c>
      <c r="AC66" s="21" t="s">
        <v>610</v>
      </c>
      <c r="AD66" s="26">
        <v>3930</v>
      </c>
      <c r="AE66" s="23" t="s">
        <v>115</v>
      </c>
      <c r="AF66" s="24"/>
      <c r="AG66" s="23" t="s">
        <v>116</v>
      </c>
      <c r="AH66" s="26">
        <v>1000</v>
      </c>
      <c r="AI66" s="25" t="s">
        <v>116</v>
      </c>
      <c r="AJ66" s="24"/>
      <c r="AK66" s="25" t="s">
        <v>117</v>
      </c>
      <c r="AL66" s="22">
        <v>0</v>
      </c>
      <c r="AM66" s="23" t="s">
        <v>115</v>
      </c>
      <c r="AN66" s="26">
        <v>1500</v>
      </c>
      <c r="AO66" s="25" t="s">
        <v>116</v>
      </c>
      <c r="AP66" s="22">
        <v>6180</v>
      </c>
      <c r="AQ66" s="23" t="s">
        <v>115</v>
      </c>
      <c r="AR66" s="24"/>
      <c r="AS66" s="23" t="s">
        <v>117</v>
      </c>
      <c r="AT66" s="27" t="s">
        <v>118</v>
      </c>
      <c r="AU66" s="23" t="s">
        <v>116</v>
      </c>
      <c r="AV66" s="22">
        <v>2470</v>
      </c>
      <c r="AW66" s="23" t="s">
        <v>115</v>
      </c>
      <c r="AX66" s="27" t="s">
        <v>118</v>
      </c>
      <c r="AY66" s="23" t="s">
        <v>115</v>
      </c>
      <c r="AZ66" s="22">
        <v>1000</v>
      </c>
      <c r="BA66" s="23" t="s">
        <v>115</v>
      </c>
      <c r="BB66" s="24"/>
      <c r="BC66" s="23" t="s">
        <v>115</v>
      </c>
      <c r="BD66" s="26">
        <v>1500</v>
      </c>
      <c r="BE66" s="23" t="s">
        <v>115</v>
      </c>
      <c r="BF66" s="26">
        <v>1500</v>
      </c>
      <c r="BG66" s="23" t="s">
        <v>115</v>
      </c>
      <c r="BH66" s="28"/>
      <c r="BI66" s="25" t="s">
        <v>117</v>
      </c>
      <c r="BJ66" s="28"/>
      <c r="BK66" s="25" t="s">
        <v>117</v>
      </c>
      <c r="BL66" s="28"/>
      <c r="BM66" s="25" t="s">
        <v>117</v>
      </c>
      <c r="BN66" s="28"/>
      <c r="BO66" s="25" t="s">
        <v>117</v>
      </c>
      <c r="BP66" s="28"/>
      <c r="BQ66" s="25" t="s">
        <v>117</v>
      </c>
      <c r="BR66" s="28"/>
      <c r="BS66" s="25" t="s">
        <v>117</v>
      </c>
      <c r="BT66" s="28"/>
      <c r="BU66" s="25" t="s">
        <v>117</v>
      </c>
      <c r="BV66" s="28"/>
      <c r="BW66" s="25" t="s">
        <v>117</v>
      </c>
      <c r="BX66" s="28"/>
      <c r="BY66" s="25" t="s">
        <v>117</v>
      </c>
      <c r="BZ66" s="28"/>
      <c r="CA66" s="25" t="s">
        <v>117</v>
      </c>
      <c r="CB66" s="28"/>
      <c r="CC66" s="25" t="s">
        <v>117</v>
      </c>
      <c r="CD66" s="28"/>
      <c r="CE66" s="25" t="s">
        <v>117</v>
      </c>
      <c r="CF66" s="28"/>
      <c r="CG66" s="25" t="s">
        <v>117</v>
      </c>
      <c r="CH66" s="28"/>
      <c r="CI66" s="25"/>
      <c r="CJ66" s="28"/>
      <c r="CK66" s="29" t="s">
        <v>117</v>
      </c>
      <c r="CL66" s="28"/>
      <c r="CM66" s="29" t="s">
        <v>117</v>
      </c>
      <c r="CN66" s="28"/>
      <c r="CO66" s="25" t="s">
        <v>117</v>
      </c>
      <c r="CP66" s="30">
        <v>400</v>
      </c>
      <c r="CQ66" s="23" t="s">
        <v>115</v>
      </c>
      <c r="CR66" s="32"/>
      <c r="CS66" s="23" t="s">
        <v>117</v>
      </c>
      <c r="CT66" s="32"/>
      <c r="CU66" s="23" t="s">
        <v>117</v>
      </c>
      <c r="CV66" s="32"/>
      <c r="CW66" s="23" t="s">
        <v>117</v>
      </c>
      <c r="CX66" s="32"/>
      <c r="CY66" s="25" t="s">
        <v>117</v>
      </c>
      <c r="CZ66" s="32"/>
      <c r="DA66" s="25" t="s">
        <v>117</v>
      </c>
      <c r="DB66" s="33" t="s">
        <v>120</v>
      </c>
      <c r="DC66" s="25" t="s">
        <v>116</v>
      </c>
      <c r="DD66" s="34">
        <f t="shared" si="12"/>
        <v>1236</v>
      </c>
      <c r="DE66" t="s">
        <v>611</v>
      </c>
      <c r="DF66" t="str">
        <f t="shared" si="13"/>
        <v>Chile#Company#Chile SPA</v>
      </c>
      <c r="DG66" t="b">
        <f t="shared" si="14"/>
        <v>1</v>
      </c>
    </row>
    <row r="67" spans="1:111" ht="78.75" hidden="1" customHeight="1" x14ac:dyDescent="0.35">
      <c r="A67" s="35" t="s">
        <v>593</v>
      </c>
      <c r="B67" s="18" t="s">
        <v>594</v>
      </c>
      <c r="C67" s="35" t="s">
        <v>88</v>
      </c>
      <c r="D67" s="36" t="s">
        <v>612</v>
      </c>
      <c r="E67" s="35" t="s">
        <v>90</v>
      </c>
      <c r="F67" s="20" t="s">
        <v>394</v>
      </c>
      <c r="G67" s="20" t="s">
        <v>613</v>
      </c>
      <c r="H67" s="20" t="s">
        <v>93</v>
      </c>
      <c r="I67" s="20" t="s">
        <v>94</v>
      </c>
      <c r="J67" s="20" t="s">
        <v>598</v>
      </c>
      <c r="K67" s="20" t="s">
        <v>96</v>
      </c>
      <c r="L67" s="20" t="s">
        <v>97</v>
      </c>
      <c r="M67" s="20" t="s">
        <v>98</v>
      </c>
      <c r="N67" s="20" t="s">
        <v>599</v>
      </c>
      <c r="O67" s="20" t="s">
        <v>100</v>
      </c>
      <c r="P67" s="20" t="s">
        <v>101</v>
      </c>
      <c r="Q67" s="20" t="s">
        <v>102</v>
      </c>
      <c r="R67" s="20" t="s">
        <v>103</v>
      </c>
      <c r="S67" s="20" t="s">
        <v>104</v>
      </c>
      <c r="T67" s="20" t="s">
        <v>105</v>
      </c>
      <c r="U67" s="20" t="s">
        <v>106</v>
      </c>
      <c r="V67" s="21" t="s">
        <v>243</v>
      </c>
      <c r="W67" s="21" t="s">
        <v>203</v>
      </c>
      <c r="X67" s="21" t="s">
        <v>109</v>
      </c>
      <c r="Y67" s="21" t="s">
        <v>614</v>
      </c>
      <c r="Z67" s="21" t="s">
        <v>256</v>
      </c>
      <c r="AA67" s="21" t="s">
        <v>601</v>
      </c>
      <c r="AB67" s="21" t="s">
        <v>615</v>
      </c>
      <c r="AC67" s="21" t="s">
        <v>616</v>
      </c>
      <c r="AD67" s="37">
        <v>4000</v>
      </c>
      <c r="AE67" s="23" t="s">
        <v>115</v>
      </c>
      <c r="AF67" s="38"/>
      <c r="AG67" s="23" t="s">
        <v>116</v>
      </c>
      <c r="AH67" s="38"/>
      <c r="AI67" s="25" t="s">
        <v>117</v>
      </c>
      <c r="AJ67" s="38"/>
      <c r="AK67" s="25" t="s">
        <v>117</v>
      </c>
      <c r="AL67" s="22">
        <v>0</v>
      </c>
      <c r="AM67" s="23" t="s">
        <v>115</v>
      </c>
      <c r="AN67" s="38"/>
      <c r="AO67" s="25" t="s">
        <v>117</v>
      </c>
      <c r="AP67" s="37">
        <v>3200</v>
      </c>
      <c r="AQ67" s="23" t="s">
        <v>115</v>
      </c>
      <c r="AR67" s="38"/>
      <c r="AS67" s="23" t="s">
        <v>117</v>
      </c>
      <c r="AT67" s="39" t="s">
        <v>118</v>
      </c>
      <c r="AU67" s="23" t="s">
        <v>116</v>
      </c>
      <c r="AV67" s="22">
        <v>2470</v>
      </c>
      <c r="AW67" s="23" t="s">
        <v>115</v>
      </c>
      <c r="AX67" s="39" t="s">
        <v>118</v>
      </c>
      <c r="AY67" s="23" t="s">
        <v>115</v>
      </c>
      <c r="AZ67" s="22">
        <v>1000</v>
      </c>
      <c r="BA67" s="23" t="s">
        <v>115</v>
      </c>
      <c r="BB67" s="40"/>
      <c r="BC67" s="23" t="s">
        <v>115</v>
      </c>
      <c r="BD67" s="39" t="s">
        <v>118</v>
      </c>
      <c r="BE67" s="23" t="s">
        <v>115</v>
      </c>
      <c r="BF67" s="39" t="s">
        <v>118</v>
      </c>
      <c r="BG67" s="23" t="s">
        <v>115</v>
      </c>
      <c r="BH67" s="40"/>
      <c r="BI67" s="25" t="s">
        <v>117</v>
      </c>
      <c r="BJ67" s="40"/>
      <c r="BK67" s="25" t="s">
        <v>117</v>
      </c>
      <c r="BL67" s="40"/>
      <c r="BM67" s="25" t="s">
        <v>117</v>
      </c>
      <c r="BN67" s="40"/>
      <c r="BO67" s="25" t="s">
        <v>117</v>
      </c>
      <c r="BP67" s="40"/>
      <c r="BQ67" s="25" t="s">
        <v>117</v>
      </c>
      <c r="BR67" s="40"/>
      <c r="BS67" s="25" t="s">
        <v>117</v>
      </c>
      <c r="BT67" s="40"/>
      <c r="BU67" s="25" t="s">
        <v>117</v>
      </c>
      <c r="BV67" s="40"/>
      <c r="BW67" s="25" t="s">
        <v>117</v>
      </c>
      <c r="BX67" s="40"/>
      <c r="BY67" s="25" t="s">
        <v>117</v>
      </c>
      <c r="BZ67" s="40"/>
      <c r="CA67" s="25" t="s">
        <v>117</v>
      </c>
      <c r="CB67" s="40"/>
      <c r="CC67" s="25" t="s">
        <v>117</v>
      </c>
      <c r="CD67" s="40"/>
      <c r="CE67" s="25" t="s">
        <v>117</v>
      </c>
      <c r="CF67" s="40"/>
      <c r="CG67" s="25" t="s">
        <v>117</v>
      </c>
      <c r="CH67" s="40"/>
      <c r="CI67" s="25"/>
      <c r="CJ67" s="40"/>
      <c r="CK67" s="41" t="s">
        <v>117</v>
      </c>
      <c r="CL67" s="40"/>
      <c r="CM67" s="41" t="s">
        <v>117</v>
      </c>
      <c r="CN67" s="40"/>
      <c r="CO67" s="25" t="s">
        <v>117</v>
      </c>
      <c r="CP67" s="30">
        <v>400</v>
      </c>
      <c r="CQ67" s="23" t="s">
        <v>115</v>
      </c>
      <c r="CR67" s="32"/>
      <c r="CS67" s="23" t="s">
        <v>117</v>
      </c>
      <c r="CT67" s="32"/>
      <c r="CU67" s="23" t="s">
        <v>117</v>
      </c>
      <c r="CV67" s="32"/>
      <c r="CW67" s="23" t="s">
        <v>117</v>
      </c>
      <c r="CX67" s="32"/>
      <c r="CY67" s="25" t="s">
        <v>117</v>
      </c>
      <c r="CZ67" s="32"/>
      <c r="DA67" s="25" t="s">
        <v>117</v>
      </c>
      <c r="DB67" s="33" t="s">
        <v>120</v>
      </c>
      <c r="DC67" s="25" t="s">
        <v>116</v>
      </c>
      <c r="DD67" s="34">
        <f t="shared" si="12"/>
        <v>830</v>
      </c>
      <c r="DE67" t="s">
        <v>617</v>
      </c>
      <c r="DF67" t="str">
        <f t="shared" si="13"/>
        <v>Chile#Company#Chile SRL</v>
      </c>
      <c r="DG67" t="b">
        <f t="shared" si="14"/>
        <v>1</v>
      </c>
    </row>
    <row r="68" spans="1:111" ht="78.75" hidden="1" customHeight="1" x14ac:dyDescent="0.35">
      <c r="A68" s="42" t="s">
        <v>593</v>
      </c>
      <c r="B68" s="18" t="s">
        <v>594</v>
      </c>
      <c r="C68" s="42" t="s">
        <v>122</v>
      </c>
      <c r="D68" s="43" t="s">
        <v>618</v>
      </c>
      <c r="E68" s="42" t="s">
        <v>90</v>
      </c>
      <c r="F68" s="20" t="s">
        <v>124</v>
      </c>
      <c r="G68" s="20" t="s">
        <v>619</v>
      </c>
      <c r="H68" s="20" t="s">
        <v>126</v>
      </c>
      <c r="I68" s="20" t="s">
        <v>127</v>
      </c>
      <c r="J68" s="20" t="s">
        <v>598</v>
      </c>
      <c r="K68" s="20" t="s">
        <v>96</v>
      </c>
      <c r="L68" s="20" t="s">
        <v>97</v>
      </c>
      <c r="M68" s="20" t="s">
        <v>98</v>
      </c>
      <c r="N68" s="20" t="s">
        <v>128</v>
      </c>
      <c r="O68" s="20" t="s">
        <v>129</v>
      </c>
      <c r="P68" s="20" t="s">
        <v>130</v>
      </c>
      <c r="Q68" s="20" t="s">
        <v>131</v>
      </c>
      <c r="R68" s="20" t="s">
        <v>132</v>
      </c>
      <c r="S68" s="20" t="s">
        <v>133</v>
      </c>
      <c r="T68" s="20" t="s">
        <v>134</v>
      </c>
      <c r="U68" s="20" t="s">
        <v>135</v>
      </c>
      <c r="V68" s="21" t="s">
        <v>122</v>
      </c>
      <c r="W68" s="21" t="s">
        <v>203</v>
      </c>
      <c r="X68" s="21" t="s">
        <v>620</v>
      </c>
      <c r="Y68" s="21" t="s">
        <v>621</v>
      </c>
      <c r="Z68" s="21" t="s">
        <v>111</v>
      </c>
      <c r="AA68" s="21"/>
      <c r="AB68" s="21" t="s">
        <v>622</v>
      </c>
      <c r="AC68" s="21" t="s">
        <v>623</v>
      </c>
      <c r="AD68" s="47">
        <v>4500</v>
      </c>
      <c r="AE68" s="23" t="s">
        <v>115</v>
      </c>
      <c r="AF68" s="44"/>
      <c r="AG68" s="23" t="s">
        <v>116</v>
      </c>
      <c r="AH68" s="44"/>
      <c r="AI68" s="25" t="s">
        <v>117</v>
      </c>
      <c r="AJ68" s="44"/>
      <c r="AK68" s="25" t="s">
        <v>117</v>
      </c>
      <c r="AL68" s="22">
        <v>0</v>
      </c>
      <c r="AM68" s="23" t="s">
        <v>115</v>
      </c>
      <c r="AN68" s="44"/>
      <c r="AO68" s="25" t="s">
        <v>117</v>
      </c>
      <c r="AQ68" s="23" t="s">
        <v>117</v>
      </c>
      <c r="AR68" s="47">
        <v>3500</v>
      </c>
      <c r="AS68" s="23" t="s">
        <v>115</v>
      </c>
      <c r="AT68" s="45" t="s">
        <v>118</v>
      </c>
      <c r="AU68" s="23" t="s">
        <v>116</v>
      </c>
      <c r="AV68" s="45" t="s">
        <v>118</v>
      </c>
      <c r="AW68" s="23" t="s">
        <v>115</v>
      </c>
      <c r="AX68" s="45" t="s">
        <v>118</v>
      </c>
      <c r="AY68" s="23" t="s">
        <v>115</v>
      </c>
      <c r="AZ68" s="45" t="s">
        <v>118</v>
      </c>
      <c r="BA68" s="23" t="s">
        <v>115</v>
      </c>
      <c r="BB68" s="46"/>
      <c r="BC68" s="23" t="s">
        <v>115</v>
      </c>
      <c r="BD68" s="45" t="s">
        <v>118</v>
      </c>
      <c r="BE68" s="23" t="s">
        <v>115</v>
      </c>
      <c r="BF68" s="45" t="s">
        <v>118</v>
      </c>
      <c r="BG68" s="23" t="s">
        <v>115</v>
      </c>
      <c r="BH68" s="46"/>
      <c r="BI68" s="25" t="s">
        <v>117</v>
      </c>
      <c r="BJ68" s="46"/>
      <c r="BK68" s="25" t="s">
        <v>117</v>
      </c>
      <c r="BL68" s="46"/>
      <c r="BM68" s="25" t="s">
        <v>117</v>
      </c>
      <c r="BN68" s="46"/>
      <c r="BO68" s="25" t="s">
        <v>117</v>
      </c>
      <c r="BP68" s="46"/>
      <c r="BQ68" s="25" t="s">
        <v>117</v>
      </c>
      <c r="BR68" s="46"/>
      <c r="BS68" s="25" t="s">
        <v>117</v>
      </c>
      <c r="BT68" s="46"/>
      <c r="BU68" s="25" t="s">
        <v>117</v>
      </c>
      <c r="BV68" s="46"/>
      <c r="BW68" s="25" t="s">
        <v>117</v>
      </c>
      <c r="BX68" s="46"/>
      <c r="BY68" s="25" t="s">
        <v>117</v>
      </c>
      <c r="BZ68" s="46"/>
      <c r="CA68" s="25" t="s">
        <v>117</v>
      </c>
      <c r="CB68" s="46"/>
      <c r="CC68" s="25" t="s">
        <v>117</v>
      </c>
      <c r="CD68" s="46"/>
      <c r="CE68" s="25" t="s">
        <v>117</v>
      </c>
      <c r="CF68" s="46"/>
      <c r="CG68" s="25" t="s">
        <v>117</v>
      </c>
      <c r="CH68" s="46"/>
      <c r="CI68" s="25"/>
      <c r="CJ68" s="46"/>
      <c r="CK68" s="48" t="s">
        <v>117</v>
      </c>
      <c r="CL68" s="46"/>
      <c r="CM68" s="48" t="s">
        <v>117</v>
      </c>
      <c r="CN68" s="46"/>
      <c r="CO68" s="25" t="s">
        <v>117</v>
      </c>
      <c r="CP68" s="30">
        <v>400</v>
      </c>
      <c r="CQ68" s="23" t="s">
        <v>115</v>
      </c>
      <c r="CR68" s="32"/>
      <c r="CS68" s="23" t="s">
        <v>117</v>
      </c>
      <c r="CT68" s="32"/>
      <c r="CU68" s="23" t="s">
        <v>117</v>
      </c>
      <c r="CV68" s="32"/>
      <c r="CW68" s="23" t="s">
        <v>117</v>
      </c>
      <c r="CX68" s="32"/>
      <c r="CY68" s="25" t="s">
        <v>117</v>
      </c>
      <c r="CZ68" s="32"/>
      <c r="DA68" s="25" t="s">
        <v>117</v>
      </c>
      <c r="DB68" s="33" t="s">
        <v>120</v>
      </c>
      <c r="DC68" s="25" t="s">
        <v>116</v>
      </c>
      <c r="DD68" s="34">
        <f t="shared" si="12"/>
        <v>630</v>
      </c>
      <c r="DE68" t="s">
        <v>624</v>
      </c>
      <c r="DF68" t="str">
        <f t="shared" si="13"/>
        <v>Chile#Trust#Chile Trust</v>
      </c>
      <c r="DG68" t="b">
        <f t="shared" si="14"/>
        <v>1</v>
      </c>
    </row>
    <row r="69" spans="1:111" ht="78.75" customHeight="1" x14ac:dyDescent="0.35">
      <c r="A69" s="35" t="s">
        <v>593</v>
      </c>
      <c r="B69" s="42" t="s">
        <v>625</v>
      </c>
      <c r="C69" s="35" t="s">
        <v>141</v>
      </c>
      <c r="D69" s="36" t="s">
        <v>626</v>
      </c>
      <c r="E69" s="35" t="s">
        <v>90</v>
      </c>
      <c r="F69" s="20" t="s">
        <v>627</v>
      </c>
      <c r="G69" s="20" t="s">
        <v>628</v>
      </c>
      <c r="H69" s="20" t="s">
        <v>145</v>
      </c>
      <c r="I69" s="20" t="s">
        <v>146</v>
      </c>
      <c r="J69" s="20" t="s">
        <v>598</v>
      </c>
      <c r="K69" s="20" t="s">
        <v>96</v>
      </c>
      <c r="L69" s="20" t="s">
        <v>97</v>
      </c>
      <c r="M69" s="20" t="s">
        <v>98</v>
      </c>
      <c r="N69" s="20" t="s">
        <v>147</v>
      </c>
      <c r="O69" s="20" t="s">
        <v>148</v>
      </c>
      <c r="P69" s="20" t="s">
        <v>149</v>
      </c>
      <c r="Q69" s="20" t="s">
        <v>150</v>
      </c>
      <c r="R69" s="20" t="s">
        <v>151</v>
      </c>
      <c r="S69" s="20" t="s">
        <v>152</v>
      </c>
      <c r="T69" s="20" t="s">
        <v>153</v>
      </c>
      <c r="U69" s="20" t="s">
        <v>154</v>
      </c>
      <c r="V69" s="21" t="s">
        <v>267</v>
      </c>
      <c r="W69" s="21" t="s">
        <v>203</v>
      </c>
      <c r="X69" s="21" t="s">
        <v>109</v>
      </c>
      <c r="Y69" s="21" t="s">
        <v>629</v>
      </c>
      <c r="Z69" s="21" t="s">
        <v>256</v>
      </c>
      <c r="AA69" s="21" t="s">
        <v>630</v>
      </c>
      <c r="AB69" s="21" t="s">
        <v>631</v>
      </c>
      <c r="AC69" s="21" t="s">
        <v>632</v>
      </c>
      <c r="AE69" s="23" t="s">
        <v>115</v>
      </c>
      <c r="AF69" s="38"/>
      <c r="AG69" s="23" t="s">
        <v>116</v>
      </c>
      <c r="AH69" s="38"/>
      <c r="AI69" s="25" t="s">
        <v>117</v>
      </c>
      <c r="AJ69" s="38"/>
      <c r="AK69" s="25" t="s">
        <v>117</v>
      </c>
      <c r="AL69" s="22">
        <v>0</v>
      </c>
      <c r="AM69" s="23" t="s">
        <v>115</v>
      </c>
      <c r="AN69" s="38"/>
      <c r="AO69" s="25" t="s">
        <v>117</v>
      </c>
      <c r="AP69" s="39" t="s">
        <v>118</v>
      </c>
      <c r="AQ69" s="23" t="s">
        <v>115</v>
      </c>
      <c r="AR69" s="40"/>
      <c r="AS69" s="23" t="s">
        <v>117</v>
      </c>
      <c r="AT69" s="39" t="s">
        <v>118</v>
      </c>
      <c r="AU69" s="23" t="s">
        <v>116</v>
      </c>
      <c r="AV69" s="39" t="s">
        <v>118</v>
      </c>
      <c r="AW69" s="23" t="s">
        <v>115</v>
      </c>
      <c r="AX69" s="39" t="s">
        <v>118</v>
      </c>
      <c r="AY69" s="23" t="s">
        <v>115</v>
      </c>
      <c r="AZ69" s="39" t="s">
        <v>118</v>
      </c>
      <c r="BA69" s="23" t="s">
        <v>115</v>
      </c>
      <c r="BB69" s="40"/>
      <c r="BC69" s="23" t="s">
        <v>115</v>
      </c>
      <c r="BD69" s="39" t="s">
        <v>118</v>
      </c>
      <c r="BE69" s="23" t="s">
        <v>115</v>
      </c>
      <c r="BF69" s="39" t="s">
        <v>118</v>
      </c>
      <c r="BG69" s="23" t="s">
        <v>115</v>
      </c>
      <c r="BH69" s="40"/>
      <c r="BI69" s="25" t="s">
        <v>117</v>
      </c>
      <c r="BJ69" s="40"/>
      <c r="BK69" s="25" t="s">
        <v>117</v>
      </c>
      <c r="BL69" s="40"/>
      <c r="BM69" s="25" t="s">
        <v>117</v>
      </c>
      <c r="BN69" s="40"/>
      <c r="BO69" s="25" t="s">
        <v>117</v>
      </c>
      <c r="BP69" s="40"/>
      <c r="BQ69" s="25" t="s">
        <v>117</v>
      </c>
      <c r="BR69" s="37">
        <v>12000</v>
      </c>
      <c r="BS69" s="25" t="s">
        <v>115</v>
      </c>
      <c r="BT69" s="40"/>
      <c r="BU69" s="25" t="s">
        <v>117</v>
      </c>
      <c r="BV69" s="40"/>
      <c r="BW69" s="25" t="s">
        <v>117</v>
      </c>
      <c r="BX69" s="40"/>
      <c r="BY69" s="25" t="s">
        <v>117</v>
      </c>
      <c r="BZ69" s="46"/>
      <c r="CA69" s="25" t="s">
        <v>117</v>
      </c>
      <c r="CB69" s="45" t="s">
        <v>159</v>
      </c>
      <c r="CC69" s="25" t="s">
        <v>116</v>
      </c>
      <c r="CD69" s="40"/>
      <c r="CE69" s="25" t="s">
        <v>117</v>
      </c>
      <c r="CF69" s="40"/>
      <c r="CG69" s="25" t="s">
        <v>117</v>
      </c>
      <c r="CH69" s="151"/>
      <c r="CI69" s="25" t="s">
        <v>116</v>
      </c>
      <c r="CJ69" s="151">
        <v>2500</v>
      </c>
      <c r="CK69" s="48" t="s">
        <v>116</v>
      </c>
      <c r="CL69" s="46">
        <v>1500</v>
      </c>
      <c r="CM69" s="48" t="s">
        <v>116</v>
      </c>
      <c r="CN69" s="46">
        <v>1500</v>
      </c>
      <c r="CO69" s="25" t="s">
        <v>116</v>
      </c>
      <c r="CP69" s="30">
        <v>400</v>
      </c>
      <c r="CQ69" s="23" t="s">
        <v>115</v>
      </c>
      <c r="CR69" s="32"/>
      <c r="CS69" s="23" t="s">
        <v>117</v>
      </c>
      <c r="CT69" s="32"/>
      <c r="CU69" s="23" t="s">
        <v>117</v>
      </c>
      <c r="CV69" s="32"/>
      <c r="CW69" s="23" t="s">
        <v>117</v>
      </c>
      <c r="CX69" s="32"/>
      <c r="CY69" s="25" t="s">
        <v>117</v>
      </c>
      <c r="CZ69" s="32"/>
      <c r="DA69" s="25" t="s">
        <v>117</v>
      </c>
      <c r="DB69" s="33" t="s">
        <v>120</v>
      </c>
      <c r="DC69" s="25" t="s">
        <v>116</v>
      </c>
      <c r="DD69" s="34">
        <f t="shared" si="12"/>
        <v>1343</v>
      </c>
      <c r="DE69" t="s">
        <v>633</v>
      </c>
      <c r="DF69" t="str">
        <f t="shared" si="13"/>
        <v>Chile#Fund#Chile Fondo de Inversion Publico</v>
      </c>
      <c r="DG69" t="b">
        <f t="shared" si="14"/>
        <v>1</v>
      </c>
    </row>
    <row r="70" spans="1:111" ht="78.75" customHeight="1" x14ac:dyDescent="0.35">
      <c r="A70" s="42" t="s">
        <v>593</v>
      </c>
      <c r="B70" s="42" t="s">
        <v>625</v>
      </c>
      <c r="C70" s="42" t="s">
        <v>141</v>
      </c>
      <c r="D70" s="43" t="s">
        <v>634</v>
      </c>
      <c r="E70" s="42" t="s">
        <v>90</v>
      </c>
      <c r="F70" s="20" t="s">
        <v>635</v>
      </c>
      <c r="G70" s="20" t="s">
        <v>636</v>
      </c>
      <c r="H70" s="20" t="s">
        <v>145</v>
      </c>
      <c r="I70" s="20" t="s">
        <v>146</v>
      </c>
      <c r="J70" s="20" t="s">
        <v>598</v>
      </c>
      <c r="K70" s="20" t="s">
        <v>96</v>
      </c>
      <c r="L70" s="20" t="s">
        <v>97</v>
      </c>
      <c r="M70" s="20" t="s">
        <v>98</v>
      </c>
      <c r="N70" s="20" t="s">
        <v>147</v>
      </c>
      <c r="O70" s="20" t="s">
        <v>148</v>
      </c>
      <c r="P70" s="20" t="s">
        <v>149</v>
      </c>
      <c r="Q70" s="20" t="s">
        <v>150</v>
      </c>
      <c r="R70" s="20" t="s">
        <v>151</v>
      </c>
      <c r="S70" s="20" t="s">
        <v>152</v>
      </c>
      <c r="T70" s="20" t="s">
        <v>153</v>
      </c>
      <c r="U70" s="20" t="s">
        <v>154</v>
      </c>
      <c r="V70" s="21" t="s">
        <v>292</v>
      </c>
      <c r="W70" s="21" t="s">
        <v>203</v>
      </c>
      <c r="X70" s="21" t="s">
        <v>109</v>
      </c>
      <c r="Y70" s="21" t="s">
        <v>637</v>
      </c>
      <c r="Z70" s="21" t="s">
        <v>111</v>
      </c>
      <c r="AA70" s="21" t="s">
        <v>638</v>
      </c>
      <c r="AB70" s="21" t="s">
        <v>639</v>
      </c>
      <c r="AC70" s="21" t="s">
        <v>640</v>
      </c>
      <c r="AE70" s="23" t="s">
        <v>115</v>
      </c>
      <c r="AF70" s="44"/>
      <c r="AG70" s="23" t="s">
        <v>116</v>
      </c>
      <c r="AH70" s="44"/>
      <c r="AI70" s="25" t="s">
        <v>117</v>
      </c>
      <c r="AJ70" s="44"/>
      <c r="AK70" s="25" t="s">
        <v>117</v>
      </c>
      <c r="AL70" s="22">
        <v>0</v>
      </c>
      <c r="AM70" s="23" t="s">
        <v>115</v>
      </c>
      <c r="AN70" s="44"/>
      <c r="AO70" s="25" t="s">
        <v>117</v>
      </c>
      <c r="AP70" s="45" t="s">
        <v>118</v>
      </c>
      <c r="AQ70" s="23" t="s">
        <v>115</v>
      </c>
      <c r="AR70" s="46"/>
      <c r="AS70" s="23" t="s">
        <v>117</v>
      </c>
      <c r="AT70" s="45" t="s">
        <v>118</v>
      </c>
      <c r="AU70" s="23" t="s">
        <v>116</v>
      </c>
      <c r="AV70" s="45" t="s">
        <v>118</v>
      </c>
      <c r="AW70" s="23" t="s">
        <v>115</v>
      </c>
      <c r="AX70" s="45" t="s">
        <v>118</v>
      </c>
      <c r="AY70" s="23" t="s">
        <v>115</v>
      </c>
      <c r="AZ70" s="45" t="s">
        <v>118</v>
      </c>
      <c r="BA70" s="23" t="s">
        <v>115</v>
      </c>
      <c r="BB70" s="46"/>
      <c r="BC70" s="23" t="s">
        <v>115</v>
      </c>
      <c r="BD70" s="45" t="s">
        <v>118</v>
      </c>
      <c r="BE70" s="23" t="s">
        <v>115</v>
      </c>
      <c r="BF70" s="45" t="s">
        <v>118</v>
      </c>
      <c r="BG70" s="23" t="s">
        <v>115</v>
      </c>
      <c r="BH70" s="46"/>
      <c r="BI70" s="25" t="s">
        <v>117</v>
      </c>
      <c r="BJ70" s="46"/>
      <c r="BK70" s="25" t="s">
        <v>117</v>
      </c>
      <c r="BL70" s="46"/>
      <c r="BM70" s="25" t="s">
        <v>117</v>
      </c>
      <c r="BN70" s="46"/>
      <c r="BO70" s="25" t="s">
        <v>117</v>
      </c>
      <c r="BP70" s="46"/>
      <c r="BQ70" s="25" t="s">
        <v>117</v>
      </c>
      <c r="BR70" s="47">
        <v>12000</v>
      </c>
      <c r="BS70" s="25" t="s">
        <v>115</v>
      </c>
      <c r="BT70" s="46"/>
      <c r="BU70" s="25" t="s">
        <v>117</v>
      </c>
      <c r="BV70" s="46"/>
      <c r="BW70" s="25" t="s">
        <v>117</v>
      </c>
      <c r="BX70" s="46"/>
      <c r="BY70" s="25" t="s">
        <v>117</v>
      </c>
      <c r="BZ70" s="46"/>
      <c r="CA70" s="25" t="s">
        <v>117</v>
      </c>
      <c r="CB70" s="45" t="s">
        <v>159</v>
      </c>
      <c r="CC70" s="25" t="s">
        <v>116</v>
      </c>
      <c r="CD70" s="46"/>
      <c r="CE70" s="25" t="s">
        <v>117</v>
      </c>
      <c r="CF70" s="46"/>
      <c r="CG70" s="25" t="s">
        <v>117</v>
      </c>
      <c r="CH70" s="151"/>
      <c r="CI70" s="25" t="s">
        <v>116</v>
      </c>
      <c r="CJ70" s="151">
        <v>2500</v>
      </c>
      <c r="CK70" s="48" t="s">
        <v>116</v>
      </c>
      <c r="CL70" s="46">
        <v>1500</v>
      </c>
      <c r="CM70" s="48" t="s">
        <v>116</v>
      </c>
      <c r="CN70" s="46">
        <v>1500</v>
      </c>
      <c r="CO70" s="25" t="s">
        <v>116</v>
      </c>
      <c r="CP70" s="30">
        <v>400</v>
      </c>
      <c r="CQ70" s="23" t="s">
        <v>115</v>
      </c>
      <c r="CR70" s="32"/>
      <c r="CS70" s="23" t="s">
        <v>117</v>
      </c>
      <c r="CT70" s="32"/>
      <c r="CU70" s="23" t="s">
        <v>117</v>
      </c>
      <c r="CV70" s="32"/>
      <c r="CW70" s="23" t="s">
        <v>117</v>
      </c>
      <c r="CX70" s="32"/>
      <c r="CY70" s="25" t="s">
        <v>117</v>
      </c>
      <c r="CZ70" s="32"/>
      <c r="DA70" s="25" t="s">
        <v>117</v>
      </c>
      <c r="DB70" s="33" t="s">
        <v>120</v>
      </c>
      <c r="DC70" s="25" t="s">
        <v>116</v>
      </c>
      <c r="DD70" s="34">
        <f t="shared" si="12"/>
        <v>1343</v>
      </c>
      <c r="DE70" t="s">
        <v>641</v>
      </c>
      <c r="DF70" t="str">
        <f t="shared" si="13"/>
        <v>Chile#Fund#Chile Fondo de Inversion Privado</v>
      </c>
      <c r="DG70" t="b">
        <f t="shared" si="14"/>
        <v>1</v>
      </c>
    </row>
    <row r="71" spans="1:111" ht="15" customHeight="1" x14ac:dyDescent="0.35">
      <c r="A71" s="35" t="s">
        <v>593</v>
      </c>
      <c r="B71" s="42" t="s">
        <v>625</v>
      </c>
      <c r="C71" s="35" t="s">
        <v>141</v>
      </c>
      <c r="D71" s="36" t="s">
        <v>642</v>
      </c>
      <c r="E71" s="35" t="s">
        <v>90</v>
      </c>
      <c r="F71" s="20" t="s">
        <v>643</v>
      </c>
      <c r="G71" s="20" t="s">
        <v>644</v>
      </c>
      <c r="H71" s="20" t="s">
        <v>145</v>
      </c>
      <c r="I71" s="20" t="s">
        <v>146</v>
      </c>
      <c r="J71" s="20" t="s">
        <v>598</v>
      </c>
      <c r="K71" s="20" t="s">
        <v>96</v>
      </c>
      <c r="L71" s="20" t="s">
        <v>97</v>
      </c>
      <c r="M71" s="20" t="s">
        <v>98</v>
      </c>
      <c r="N71" s="20" t="s">
        <v>147</v>
      </c>
      <c r="O71" s="20" t="s">
        <v>148</v>
      </c>
      <c r="P71" s="20" t="s">
        <v>149</v>
      </c>
      <c r="Q71" s="20" t="s">
        <v>150</v>
      </c>
      <c r="R71" s="20" t="s">
        <v>151</v>
      </c>
      <c r="S71" s="20" t="s">
        <v>152</v>
      </c>
      <c r="T71" s="20" t="s">
        <v>153</v>
      </c>
      <c r="U71" s="20" t="s">
        <v>154</v>
      </c>
      <c r="V71" s="21" t="s">
        <v>300</v>
      </c>
      <c r="W71" s="21" t="s">
        <v>203</v>
      </c>
      <c r="X71" s="21" t="s">
        <v>109</v>
      </c>
      <c r="Y71" s="21" t="s">
        <v>645</v>
      </c>
      <c r="Z71" s="21" t="s">
        <v>256</v>
      </c>
      <c r="AA71" s="21" t="s">
        <v>630</v>
      </c>
      <c r="AB71" s="21" t="s">
        <v>646</v>
      </c>
      <c r="AC71" s="21" t="s">
        <v>647</v>
      </c>
      <c r="AE71" s="23" t="s">
        <v>115</v>
      </c>
      <c r="AF71" s="38"/>
      <c r="AG71" s="23" t="s">
        <v>116</v>
      </c>
      <c r="AH71" s="38"/>
      <c r="AI71" s="25" t="s">
        <v>117</v>
      </c>
      <c r="AJ71" s="38"/>
      <c r="AK71" s="25" t="s">
        <v>117</v>
      </c>
      <c r="AL71" s="22">
        <v>0</v>
      </c>
      <c r="AM71" s="23" t="s">
        <v>115</v>
      </c>
      <c r="AN71" s="38"/>
      <c r="AO71" s="25" t="s">
        <v>117</v>
      </c>
      <c r="AP71" s="39" t="s">
        <v>118</v>
      </c>
      <c r="AQ71" s="23" t="s">
        <v>115</v>
      </c>
      <c r="AR71" s="40"/>
      <c r="AS71" s="23" t="s">
        <v>117</v>
      </c>
      <c r="AT71" s="39" t="s">
        <v>118</v>
      </c>
      <c r="AU71" s="23" t="s">
        <v>116</v>
      </c>
      <c r="AV71" s="39" t="s">
        <v>118</v>
      </c>
      <c r="AW71" s="23" t="s">
        <v>115</v>
      </c>
      <c r="AX71" s="39" t="s">
        <v>118</v>
      </c>
      <c r="AY71" s="23" t="s">
        <v>115</v>
      </c>
      <c r="AZ71" s="39" t="s">
        <v>118</v>
      </c>
      <c r="BA71" s="23" t="s">
        <v>115</v>
      </c>
      <c r="BB71" s="40"/>
      <c r="BC71" s="23" t="s">
        <v>115</v>
      </c>
      <c r="BD71" s="39" t="s">
        <v>118</v>
      </c>
      <c r="BE71" s="23" t="s">
        <v>115</v>
      </c>
      <c r="BF71" s="39" t="s">
        <v>118</v>
      </c>
      <c r="BG71" s="23" t="s">
        <v>115</v>
      </c>
      <c r="BH71" s="40"/>
      <c r="BI71" s="25" t="s">
        <v>117</v>
      </c>
      <c r="BJ71" s="40"/>
      <c r="BK71" s="25" t="s">
        <v>117</v>
      </c>
      <c r="BL71" s="40"/>
      <c r="BM71" s="25" t="s">
        <v>117</v>
      </c>
      <c r="BN71" s="40"/>
      <c r="BO71" s="25" t="s">
        <v>117</v>
      </c>
      <c r="BP71" s="40"/>
      <c r="BQ71" s="25" t="s">
        <v>117</v>
      </c>
      <c r="BR71" s="37">
        <v>12000</v>
      </c>
      <c r="BS71" s="25" t="s">
        <v>115</v>
      </c>
      <c r="BT71" s="40"/>
      <c r="BU71" s="25" t="s">
        <v>117</v>
      </c>
      <c r="BV71" s="40"/>
      <c r="BW71" s="25" t="s">
        <v>117</v>
      </c>
      <c r="BX71" s="40"/>
      <c r="BY71" s="25" t="s">
        <v>117</v>
      </c>
      <c r="BZ71" s="46"/>
      <c r="CA71" s="25" t="s">
        <v>117</v>
      </c>
      <c r="CB71" s="45" t="s">
        <v>159</v>
      </c>
      <c r="CC71" s="25" t="s">
        <v>116</v>
      </c>
      <c r="CD71" s="40"/>
      <c r="CE71" s="25" t="s">
        <v>117</v>
      </c>
      <c r="CF71" s="40"/>
      <c r="CG71" s="25" t="s">
        <v>117</v>
      </c>
      <c r="CH71" s="151"/>
      <c r="CI71" s="25" t="s">
        <v>116</v>
      </c>
      <c r="CJ71" s="151">
        <v>2500</v>
      </c>
      <c r="CK71" s="48" t="s">
        <v>116</v>
      </c>
      <c r="CL71" s="46">
        <v>1500</v>
      </c>
      <c r="CM71" s="48" t="s">
        <v>116</v>
      </c>
      <c r="CN71" s="46">
        <v>1500</v>
      </c>
      <c r="CO71" s="25" t="s">
        <v>116</v>
      </c>
      <c r="CP71" s="30">
        <v>400</v>
      </c>
      <c r="CQ71" s="23" t="s">
        <v>115</v>
      </c>
      <c r="CR71" s="32"/>
      <c r="CS71" s="23" t="s">
        <v>117</v>
      </c>
      <c r="CT71" s="32"/>
      <c r="CU71" s="23" t="s">
        <v>117</v>
      </c>
      <c r="CV71" s="32"/>
      <c r="CW71" s="23" t="s">
        <v>117</v>
      </c>
      <c r="CX71" s="32"/>
      <c r="CY71" s="25" t="s">
        <v>117</v>
      </c>
      <c r="CZ71" s="32"/>
      <c r="DA71" s="25" t="s">
        <v>117</v>
      </c>
      <c r="DB71" s="33" t="s">
        <v>120</v>
      </c>
      <c r="DC71" s="25" t="s">
        <v>116</v>
      </c>
      <c r="DD71" s="34">
        <f t="shared" si="12"/>
        <v>1343</v>
      </c>
      <c r="DE71" t="s">
        <v>648</v>
      </c>
      <c r="DF71" t="str">
        <f t="shared" si="13"/>
        <v>Chile#Fund#Chile Fondo de Inversion Inmobiliario</v>
      </c>
      <c r="DG71" t="b">
        <f t="shared" si="14"/>
        <v>1</v>
      </c>
    </row>
    <row r="72" spans="1:111" ht="101.25" customHeight="1" x14ac:dyDescent="0.35">
      <c r="A72" s="42" t="s">
        <v>593</v>
      </c>
      <c r="B72" s="42" t="s">
        <v>625</v>
      </c>
      <c r="C72" s="42" t="s">
        <v>141</v>
      </c>
      <c r="D72" s="43" t="s">
        <v>649</v>
      </c>
      <c r="E72" s="42" t="s">
        <v>90</v>
      </c>
      <c r="F72" s="20" t="s">
        <v>650</v>
      </c>
      <c r="G72" s="20" t="s">
        <v>651</v>
      </c>
      <c r="H72" s="20" t="s">
        <v>145</v>
      </c>
      <c r="I72" s="20" t="s">
        <v>146</v>
      </c>
      <c r="J72" s="20" t="s">
        <v>598</v>
      </c>
      <c r="K72" s="20" t="s">
        <v>96</v>
      </c>
      <c r="L72" s="20" t="s">
        <v>97</v>
      </c>
      <c r="M72" s="20" t="s">
        <v>98</v>
      </c>
      <c r="N72" s="20" t="s">
        <v>147</v>
      </c>
      <c r="O72" s="20" t="s">
        <v>148</v>
      </c>
      <c r="P72" s="20" t="s">
        <v>149</v>
      </c>
      <c r="Q72" s="20" t="s">
        <v>150</v>
      </c>
      <c r="R72" s="20" t="s">
        <v>151</v>
      </c>
      <c r="S72" s="20" t="s">
        <v>152</v>
      </c>
      <c r="T72" s="20" t="s">
        <v>153</v>
      </c>
      <c r="U72" s="20" t="s">
        <v>154</v>
      </c>
      <c r="V72" s="21" t="s">
        <v>267</v>
      </c>
      <c r="W72" s="21" t="s">
        <v>203</v>
      </c>
      <c r="X72" s="21" t="s">
        <v>109</v>
      </c>
      <c r="Y72" s="21" t="s">
        <v>652</v>
      </c>
      <c r="Z72" s="21" t="s">
        <v>256</v>
      </c>
      <c r="AA72" s="21" t="s">
        <v>630</v>
      </c>
      <c r="AB72" s="21" t="s">
        <v>653</v>
      </c>
      <c r="AC72" s="21" t="s">
        <v>654</v>
      </c>
      <c r="AE72" s="23" t="s">
        <v>115</v>
      </c>
      <c r="AF72" s="44"/>
      <c r="AG72" s="23" t="s">
        <v>116</v>
      </c>
      <c r="AH72" s="44"/>
      <c r="AI72" s="25" t="s">
        <v>117</v>
      </c>
      <c r="AJ72" s="44"/>
      <c r="AK72" s="25" t="s">
        <v>117</v>
      </c>
      <c r="AL72" s="22">
        <v>0</v>
      </c>
      <c r="AM72" s="23" t="s">
        <v>115</v>
      </c>
      <c r="AN72" s="44"/>
      <c r="AO72" s="25" t="s">
        <v>117</v>
      </c>
      <c r="AP72" s="45" t="s">
        <v>118</v>
      </c>
      <c r="AQ72" s="23" t="s">
        <v>115</v>
      </c>
      <c r="AR72" s="46"/>
      <c r="AS72" s="23" t="s">
        <v>117</v>
      </c>
      <c r="AT72" s="45" t="s">
        <v>118</v>
      </c>
      <c r="AU72" s="23" t="s">
        <v>116</v>
      </c>
      <c r="AV72" s="45" t="s">
        <v>118</v>
      </c>
      <c r="AW72" s="23" t="s">
        <v>115</v>
      </c>
      <c r="AX72" s="45" t="s">
        <v>118</v>
      </c>
      <c r="AY72" s="23" t="s">
        <v>115</v>
      </c>
      <c r="AZ72" s="45" t="s">
        <v>118</v>
      </c>
      <c r="BA72" s="23" t="s">
        <v>115</v>
      </c>
      <c r="BB72" s="46"/>
      <c r="BC72" s="23" t="s">
        <v>115</v>
      </c>
      <c r="BD72" s="45" t="s">
        <v>118</v>
      </c>
      <c r="BE72" s="23" t="s">
        <v>115</v>
      </c>
      <c r="BF72" s="45" t="s">
        <v>118</v>
      </c>
      <c r="BG72" s="23" t="s">
        <v>115</v>
      </c>
      <c r="BH72" s="46"/>
      <c r="BI72" s="25" t="s">
        <v>117</v>
      </c>
      <c r="BJ72" s="46"/>
      <c r="BK72" s="25" t="s">
        <v>117</v>
      </c>
      <c r="BL72" s="46"/>
      <c r="BM72" s="25" t="s">
        <v>117</v>
      </c>
      <c r="BN72" s="46"/>
      <c r="BO72" s="25" t="s">
        <v>117</v>
      </c>
      <c r="BP72" s="46"/>
      <c r="BQ72" s="25" t="s">
        <v>117</v>
      </c>
      <c r="BR72" s="47">
        <v>12000</v>
      </c>
      <c r="BS72" s="25" t="s">
        <v>115</v>
      </c>
      <c r="BT72" s="46"/>
      <c r="BU72" s="25" t="s">
        <v>117</v>
      </c>
      <c r="BV72" s="46"/>
      <c r="BW72" s="25" t="s">
        <v>117</v>
      </c>
      <c r="BX72" s="46"/>
      <c r="BY72" s="25" t="s">
        <v>117</v>
      </c>
      <c r="BZ72" s="46"/>
      <c r="CA72" s="25" t="s">
        <v>117</v>
      </c>
      <c r="CB72" s="45" t="s">
        <v>159</v>
      </c>
      <c r="CC72" s="25" t="s">
        <v>116</v>
      </c>
      <c r="CD72" s="46"/>
      <c r="CE72" s="25" t="s">
        <v>117</v>
      </c>
      <c r="CF72" s="46"/>
      <c r="CG72" s="25" t="s">
        <v>117</v>
      </c>
      <c r="CH72" s="151"/>
      <c r="CI72" s="25" t="s">
        <v>116</v>
      </c>
      <c r="CJ72" s="151">
        <v>2500</v>
      </c>
      <c r="CK72" s="48" t="s">
        <v>116</v>
      </c>
      <c r="CL72" s="46">
        <v>1500</v>
      </c>
      <c r="CM72" s="48" t="s">
        <v>116</v>
      </c>
      <c r="CN72" s="46">
        <v>1500</v>
      </c>
      <c r="CO72" s="25" t="s">
        <v>116</v>
      </c>
      <c r="CP72" s="30">
        <v>400</v>
      </c>
      <c r="CQ72" s="23" t="s">
        <v>115</v>
      </c>
      <c r="CR72" s="32"/>
      <c r="CS72" s="23" t="s">
        <v>117</v>
      </c>
      <c r="CT72" s="32"/>
      <c r="CU72" s="23" t="s">
        <v>117</v>
      </c>
      <c r="CV72" s="32"/>
      <c r="CW72" s="23" t="s">
        <v>117</v>
      </c>
      <c r="CX72" s="32"/>
      <c r="CY72" s="25" t="s">
        <v>117</v>
      </c>
      <c r="CZ72" s="32"/>
      <c r="DA72" s="25" t="s">
        <v>117</v>
      </c>
      <c r="DB72" s="33" t="s">
        <v>120</v>
      </c>
      <c r="DC72" s="25" t="s">
        <v>116</v>
      </c>
      <c r="DD72" s="34">
        <f t="shared" si="12"/>
        <v>1343</v>
      </c>
      <c r="DE72" t="s">
        <v>655</v>
      </c>
      <c r="DF72" t="str">
        <f t="shared" si="13"/>
        <v>Chile#Fund#Chile Fondo Extranjero</v>
      </c>
      <c r="DG72" t="b">
        <f t="shared" si="14"/>
        <v>1</v>
      </c>
    </row>
    <row r="73" spans="1:111" ht="112.5" customHeight="1" x14ac:dyDescent="0.35">
      <c r="A73" s="35" t="s">
        <v>593</v>
      </c>
      <c r="B73" s="42" t="s">
        <v>625</v>
      </c>
      <c r="C73" s="35" t="s">
        <v>141</v>
      </c>
      <c r="D73" s="36" t="s">
        <v>656</v>
      </c>
      <c r="E73" s="35" t="s">
        <v>90</v>
      </c>
      <c r="F73" s="20" t="s">
        <v>657</v>
      </c>
      <c r="G73" s="20" t="s">
        <v>658</v>
      </c>
      <c r="H73" s="20" t="s">
        <v>145</v>
      </c>
      <c r="I73" s="20" t="s">
        <v>146</v>
      </c>
      <c r="J73" s="20" t="s">
        <v>598</v>
      </c>
      <c r="K73" s="20" t="s">
        <v>96</v>
      </c>
      <c r="L73" s="20" t="s">
        <v>97</v>
      </c>
      <c r="M73" s="20" t="s">
        <v>98</v>
      </c>
      <c r="N73" s="20" t="s">
        <v>147</v>
      </c>
      <c r="O73" s="20" t="s">
        <v>148</v>
      </c>
      <c r="P73" s="20" t="s">
        <v>149</v>
      </c>
      <c r="Q73" s="20" t="s">
        <v>150</v>
      </c>
      <c r="R73" s="20" t="s">
        <v>151</v>
      </c>
      <c r="S73" s="20" t="s">
        <v>152</v>
      </c>
      <c r="T73" s="20" t="s">
        <v>153</v>
      </c>
      <c r="U73" s="20" t="s">
        <v>154</v>
      </c>
      <c r="V73" s="21" t="s">
        <v>659</v>
      </c>
      <c r="W73" s="21" t="s">
        <v>203</v>
      </c>
      <c r="X73" s="21" t="s">
        <v>109</v>
      </c>
      <c r="Y73" s="21" t="s">
        <v>660</v>
      </c>
      <c r="Z73" s="21" t="s">
        <v>256</v>
      </c>
      <c r="AA73" s="21" t="s">
        <v>630</v>
      </c>
      <c r="AB73" s="21" t="s">
        <v>661</v>
      </c>
      <c r="AC73" s="21" t="s">
        <v>662</v>
      </c>
      <c r="AE73" s="23" t="s">
        <v>115</v>
      </c>
      <c r="AF73" s="38"/>
      <c r="AG73" s="23" t="s">
        <v>116</v>
      </c>
      <c r="AH73" s="38"/>
      <c r="AI73" s="25" t="s">
        <v>117</v>
      </c>
      <c r="AJ73" s="38"/>
      <c r="AK73" s="25" t="s">
        <v>117</v>
      </c>
      <c r="AL73" s="22">
        <v>0</v>
      </c>
      <c r="AM73" s="23" t="s">
        <v>115</v>
      </c>
      <c r="AN73" s="38"/>
      <c r="AO73" s="25" t="s">
        <v>117</v>
      </c>
      <c r="AP73" s="39" t="s">
        <v>118</v>
      </c>
      <c r="AQ73" s="23" t="s">
        <v>115</v>
      </c>
      <c r="AR73" s="40"/>
      <c r="AS73" s="23" t="s">
        <v>117</v>
      </c>
      <c r="AT73" s="39" t="s">
        <v>118</v>
      </c>
      <c r="AU73" s="23" t="s">
        <v>116</v>
      </c>
      <c r="AV73" s="39" t="s">
        <v>118</v>
      </c>
      <c r="AW73" s="23" t="s">
        <v>115</v>
      </c>
      <c r="AX73" s="39" t="s">
        <v>118</v>
      </c>
      <c r="AY73" s="23" t="s">
        <v>115</v>
      </c>
      <c r="AZ73" s="39" t="s">
        <v>118</v>
      </c>
      <c r="BA73" s="23" t="s">
        <v>115</v>
      </c>
      <c r="BB73" s="40"/>
      <c r="BC73" s="23" t="s">
        <v>115</v>
      </c>
      <c r="BD73" s="39" t="s">
        <v>118</v>
      </c>
      <c r="BE73" s="23" t="s">
        <v>115</v>
      </c>
      <c r="BF73" s="39" t="s">
        <v>118</v>
      </c>
      <c r="BG73" s="23" t="s">
        <v>115</v>
      </c>
      <c r="BH73" s="40"/>
      <c r="BI73" s="25" t="s">
        <v>117</v>
      </c>
      <c r="BJ73" s="40"/>
      <c r="BK73" s="25" t="s">
        <v>117</v>
      </c>
      <c r="BL73" s="40"/>
      <c r="BM73" s="25" t="s">
        <v>117</v>
      </c>
      <c r="BN73" s="40"/>
      <c r="BO73" s="25" t="s">
        <v>117</v>
      </c>
      <c r="BP73" s="40"/>
      <c r="BQ73" s="25" t="s">
        <v>117</v>
      </c>
      <c r="BR73" s="37">
        <v>12000</v>
      </c>
      <c r="BS73" s="25" t="s">
        <v>115</v>
      </c>
      <c r="BT73" s="40"/>
      <c r="BU73" s="25" t="s">
        <v>117</v>
      </c>
      <c r="BV73" s="40"/>
      <c r="BW73" s="25" t="s">
        <v>117</v>
      </c>
      <c r="BX73" s="40"/>
      <c r="BY73" s="25" t="s">
        <v>117</v>
      </c>
      <c r="BZ73" s="46"/>
      <c r="CA73" s="25" t="s">
        <v>117</v>
      </c>
      <c r="CB73" s="45" t="s">
        <v>159</v>
      </c>
      <c r="CC73" s="25" t="s">
        <v>116</v>
      </c>
      <c r="CD73" s="40"/>
      <c r="CE73" s="25" t="s">
        <v>117</v>
      </c>
      <c r="CF73" s="40"/>
      <c r="CG73" s="25" t="s">
        <v>117</v>
      </c>
      <c r="CH73" s="151"/>
      <c r="CI73" s="25" t="s">
        <v>116</v>
      </c>
      <c r="CJ73" s="151">
        <v>2500</v>
      </c>
      <c r="CK73" s="48" t="s">
        <v>116</v>
      </c>
      <c r="CL73" s="46">
        <v>1500</v>
      </c>
      <c r="CM73" s="48" t="s">
        <v>116</v>
      </c>
      <c r="CN73" s="46">
        <v>1500</v>
      </c>
      <c r="CO73" s="25" t="s">
        <v>116</v>
      </c>
      <c r="CP73" s="30">
        <v>400</v>
      </c>
      <c r="CQ73" s="23" t="s">
        <v>115</v>
      </c>
      <c r="CR73" s="32"/>
      <c r="CS73" s="23" t="s">
        <v>117</v>
      </c>
      <c r="CT73" s="32"/>
      <c r="CU73" s="23" t="s">
        <v>117</v>
      </c>
      <c r="CV73" s="32"/>
      <c r="CW73" s="23" t="s">
        <v>117</v>
      </c>
      <c r="CX73" s="32"/>
      <c r="CY73" s="25" t="s">
        <v>117</v>
      </c>
      <c r="CZ73" s="32"/>
      <c r="DA73" s="25" t="s">
        <v>117</v>
      </c>
      <c r="DB73" s="33" t="s">
        <v>120</v>
      </c>
      <c r="DC73" s="25" t="s">
        <v>116</v>
      </c>
      <c r="DD73" s="34">
        <f t="shared" si="12"/>
        <v>1343</v>
      </c>
      <c r="DE73" t="s">
        <v>663</v>
      </c>
      <c r="DF73" t="str">
        <f t="shared" si="13"/>
        <v>Chile#Fund#Chile Fondo Mutuo</v>
      </c>
      <c r="DG73" t="b">
        <f t="shared" si="14"/>
        <v>1</v>
      </c>
    </row>
    <row r="74" spans="1:111" ht="15" hidden="1" customHeight="1" x14ac:dyDescent="0.35">
      <c r="A74" s="184" t="s">
        <v>664</v>
      </c>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c r="AA74" s="184"/>
      <c r="AB74" s="184"/>
      <c r="AC74" s="184"/>
      <c r="AD74" s="184"/>
      <c r="AE74" s="184"/>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4"/>
      <c r="BC74" s="184"/>
      <c r="BD74" s="184"/>
      <c r="BE74" s="184"/>
      <c r="BF74" s="184"/>
      <c r="BG74" s="184"/>
      <c r="BH74" s="184"/>
      <c r="BI74" s="184"/>
      <c r="BJ74" s="184"/>
      <c r="BK74" s="184"/>
      <c r="BL74" s="184"/>
      <c r="BM74" s="184"/>
      <c r="BN74" s="184"/>
      <c r="BO74" s="184"/>
      <c r="BP74" s="184"/>
      <c r="BQ74" s="184"/>
      <c r="BR74" s="184"/>
      <c r="BS74" s="184"/>
      <c r="BT74" s="184"/>
      <c r="BU74" s="184"/>
      <c r="BV74" s="184"/>
      <c r="BW74" s="184"/>
      <c r="BX74" s="184"/>
      <c r="BY74" s="184"/>
      <c r="BZ74" s="184"/>
      <c r="CA74" s="184"/>
      <c r="CB74" s="184"/>
      <c r="CC74" s="184"/>
      <c r="CD74" s="184"/>
      <c r="CE74" s="184"/>
      <c r="CF74" s="184"/>
      <c r="CG74" s="184"/>
      <c r="CH74" s="184"/>
      <c r="CI74" s="184"/>
      <c r="CJ74" s="184"/>
      <c r="CK74" s="184"/>
      <c r="CL74" s="184"/>
      <c r="CM74" s="184"/>
      <c r="CN74" s="184"/>
      <c r="CO74" s="184"/>
      <c r="CP74" s="184"/>
      <c r="CQ74" s="184"/>
      <c r="CR74" s="184"/>
      <c r="CS74" s="184"/>
      <c r="CT74" s="184"/>
      <c r="CU74" s="184"/>
      <c r="CV74" s="184"/>
      <c r="CW74" s="184"/>
      <c r="CX74" s="184"/>
      <c r="CY74" s="184"/>
      <c r="CZ74" s="184"/>
      <c r="DA74" s="184"/>
      <c r="DB74" s="184"/>
      <c r="DC74" s="184"/>
      <c r="DE74" t="s">
        <v>85</v>
      </c>
      <c r="DF74" t="str">
        <f>A71&amp;"#"&amp;C71&amp;"#"&amp;D71</f>
        <v>Chile#Fund#Chile Fondo de Inversion Inmobiliario</v>
      </c>
    </row>
    <row r="75" spans="1:111" ht="78.75" hidden="1" customHeight="1" x14ac:dyDescent="0.35">
      <c r="A75" s="35" t="s">
        <v>665</v>
      </c>
      <c r="B75" s="35" t="s">
        <v>666</v>
      </c>
      <c r="C75" s="35" t="s">
        <v>88</v>
      </c>
      <c r="D75" s="36" t="s">
        <v>667</v>
      </c>
      <c r="E75" s="35" t="s">
        <v>90</v>
      </c>
      <c r="F75" s="20" t="s">
        <v>668</v>
      </c>
      <c r="G75" s="20" t="s">
        <v>669</v>
      </c>
      <c r="H75" s="20" t="s">
        <v>670</v>
      </c>
      <c r="I75" s="20" t="s">
        <v>671</v>
      </c>
      <c r="J75" s="20" t="s">
        <v>672</v>
      </c>
      <c r="K75" s="20" t="s">
        <v>96</v>
      </c>
      <c r="L75" s="20" t="s">
        <v>97</v>
      </c>
      <c r="M75" s="20" t="s">
        <v>98</v>
      </c>
      <c r="N75" s="20" t="s">
        <v>673</v>
      </c>
      <c r="O75" s="20" t="s">
        <v>674</v>
      </c>
      <c r="P75" s="20" t="s">
        <v>675</v>
      </c>
      <c r="Q75" s="20" t="s">
        <v>676</v>
      </c>
      <c r="R75" s="20" t="s">
        <v>103</v>
      </c>
      <c r="S75" s="20" t="s">
        <v>104</v>
      </c>
      <c r="T75" s="20" t="s">
        <v>677</v>
      </c>
      <c r="U75" s="20" t="s">
        <v>678</v>
      </c>
      <c r="V75" s="21" t="s">
        <v>679</v>
      </c>
      <c r="W75" s="21" t="s">
        <v>203</v>
      </c>
      <c r="X75" s="21" t="s">
        <v>109</v>
      </c>
      <c r="Y75" s="21" t="s">
        <v>680</v>
      </c>
      <c r="Z75" s="21" t="s">
        <v>256</v>
      </c>
      <c r="AA75" s="21" t="s">
        <v>112</v>
      </c>
      <c r="AB75" s="21" t="s">
        <v>681</v>
      </c>
      <c r="AC75" s="21" t="s">
        <v>682</v>
      </c>
      <c r="AD75" s="37">
        <v>4500</v>
      </c>
      <c r="AE75" s="23" t="s">
        <v>115</v>
      </c>
      <c r="AF75" s="38"/>
      <c r="AG75" s="23" t="s">
        <v>116</v>
      </c>
      <c r="AH75" s="38"/>
      <c r="AI75" s="25" t="s">
        <v>117</v>
      </c>
      <c r="AJ75" s="38"/>
      <c r="AK75" s="25" t="s">
        <v>117</v>
      </c>
      <c r="AL75" s="22">
        <v>0</v>
      </c>
      <c r="AM75" s="23" t="s">
        <v>115</v>
      </c>
      <c r="AN75" s="38"/>
      <c r="AO75" s="25" t="s">
        <v>117</v>
      </c>
      <c r="AP75" s="39" t="s">
        <v>683</v>
      </c>
      <c r="AQ75" s="23" t="s">
        <v>115</v>
      </c>
      <c r="AR75" s="38"/>
      <c r="AS75" s="23" t="s">
        <v>117</v>
      </c>
      <c r="AT75" s="39" t="s">
        <v>118</v>
      </c>
      <c r="AU75" s="23" t="s">
        <v>116</v>
      </c>
      <c r="AV75" s="39" t="s">
        <v>118</v>
      </c>
      <c r="AW75" s="23" t="s">
        <v>115</v>
      </c>
      <c r="AX75" s="39" t="s">
        <v>118</v>
      </c>
      <c r="AY75" s="23" t="s">
        <v>115</v>
      </c>
      <c r="AZ75" s="39" t="s">
        <v>118</v>
      </c>
      <c r="BA75" s="23" t="s">
        <v>115</v>
      </c>
      <c r="BB75" s="40"/>
      <c r="BC75" s="23" t="s">
        <v>115</v>
      </c>
      <c r="BD75" s="39" t="s">
        <v>683</v>
      </c>
      <c r="BE75" s="23" t="s">
        <v>115</v>
      </c>
      <c r="BF75" s="39" t="s">
        <v>683</v>
      </c>
      <c r="BG75" s="23" t="s">
        <v>115</v>
      </c>
      <c r="BH75" s="40"/>
      <c r="BI75" s="25" t="s">
        <v>117</v>
      </c>
      <c r="BJ75" s="40"/>
      <c r="BK75" s="25" t="s">
        <v>117</v>
      </c>
      <c r="BL75" s="40"/>
      <c r="BM75" s="25" t="s">
        <v>117</v>
      </c>
      <c r="BN75" s="40"/>
      <c r="BO75" s="25" t="s">
        <v>117</v>
      </c>
      <c r="BP75" s="40"/>
      <c r="BQ75" s="25" t="s">
        <v>117</v>
      </c>
      <c r="BR75" s="40"/>
      <c r="BS75" s="25" t="s">
        <v>117</v>
      </c>
      <c r="BT75" s="40"/>
      <c r="BU75" s="25" t="s">
        <v>117</v>
      </c>
      <c r="BV75" s="40"/>
      <c r="BW75" s="25" t="s">
        <v>117</v>
      </c>
      <c r="BX75" s="40"/>
      <c r="BY75" s="25" t="s">
        <v>117</v>
      </c>
      <c r="BZ75" s="40"/>
      <c r="CA75" s="25" t="s">
        <v>117</v>
      </c>
      <c r="CB75" s="40"/>
      <c r="CC75" s="25" t="s">
        <v>117</v>
      </c>
      <c r="CD75" s="40"/>
      <c r="CE75" s="25" t="s">
        <v>117</v>
      </c>
      <c r="CF75" s="40"/>
      <c r="CG75" s="25" t="s">
        <v>117</v>
      </c>
      <c r="CH75" s="40"/>
      <c r="CI75" s="25"/>
      <c r="CJ75" s="40"/>
      <c r="CK75" s="41" t="s">
        <v>117</v>
      </c>
      <c r="CL75" s="40"/>
      <c r="CM75" s="41" t="s">
        <v>117</v>
      </c>
      <c r="CN75" s="40"/>
      <c r="CO75" s="25" t="s">
        <v>117</v>
      </c>
      <c r="CP75" s="30">
        <v>400</v>
      </c>
      <c r="CQ75" s="23" t="s">
        <v>115</v>
      </c>
      <c r="CR75" s="32"/>
      <c r="CS75" s="23" t="s">
        <v>117</v>
      </c>
      <c r="CT75" s="32"/>
      <c r="CU75" s="23" t="s">
        <v>117</v>
      </c>
      <c r="CV75" s="32"/>
      <c r="CW75" s="23" t="s">
        <v>117</v>
      </c>
      <c r="CX75" s="32"/>
      <c r="CY75" s="25" t="s">
        <v>117</v>
      </c>
      <c r="CZ75" s="32"/>
      <c r="DA75" s="25" t="s">
        <v>117</v>
      </c>
      <c r="DB75" s="33" t="s">
        <v>120</v>
      </c>
      <c r="DC75" s="25" t="s">
        <v>116</v>
      </c>
      <c r="DD75" s="34">
        <f>ROUND(0.075*SUM(AD75,AF75,AH75,AJ75,AL75,AN75,AP75,AR75,AT75,AV75,AX75,AZ75,BB75,BR75,BT75,BV75,BX75,BZ75,CB75,CD75,CF75,CJ75,CL75,CN75,CP75,CR75,CT75,CV75,CX75,CZ75),0)</f>
        <v>368</v>
      </c>
      <c r="DE75" t="s">
        <v>684</v>
      </c>
      <c r="DF75" t="str">
        <f>A75&amp;"#"&amp;C75&amp;"#"&amp;D75</f>
        <v>China#Company#China WFOE</v>
      </c>
      <c r="DG75" t="b">
        <f>DE75=DF75</f>
        <v>1</v>
      </c>
    </row>
    <row r="76" spans="1:111" ht="78.75" hidden="1" customHeight="1" x14ac:dyDescent="0.35">
      <c r="A76" s="35" t="s">
        <v>665</v>
      </c>
      <c r="B76" s="35" t="s">
        <v>666</v>
      </c>
      <c r="C76" s="35" t="s">
        <v>88</v>
      </c>
      <c r="D76" s="36" t="s">
        <v>685</v>
      </c>
      <c r="E76" s="35" t="s">
        <v>90</v>
      </c>
      <c r="F76" s="20" t="s">
        <v>686</v>
      </c>
      <c r="G76" s="20" t="s">
        <v>687</v>
      </c>
      <c r="H76" s="20" t="s">
        <v>670</v>
      </c>
      <c r="I76" s="20" t="s">
        <v>688</v>
      </c>
      <c r="J76" s="20" t="s">
        <v>672</v>
      </c>
      <c r="K76" s="20" t="s">
        <v>689</v>
      </c>
      <c r="L76" s="20" t="s">
        <v>97</v>
      </c>
      <c r="M76" s="20" t="s">
        <v>98</v>
      </c>
      <c r="N76" s="20" t="s">
        <v>690</v>
      </c>
      <c r="O76" s="20" t="s">
        <v>691</v>
      </c>
      <c r="P76" s="20" t="s">
        <v>692</v>
      </c>
      <c r="Q76" s="20" t="s">
        <v>693</v>
      </c>
      <c r="R76" s="20" t="s">
        <v>694</v>
      </c>
      <c r="S76" s="20" t="s">
        <v>695</v>
      </c>
      <c r="T76" s="20" t="s">
        <v>696</v>
      </c>
      <c r="U76" s="20" t="s">
        <v>697</v>
      </c>
      <c r="V76" s="21" t="s">
        <v>698</v>
      </c>
      <c r="W76" s="21" t="s">
        <v>203</v>
      </c>
      <c r="X76" s="21" t="s">
        <v>699</v>
      </c>
      <c r="Y76" s="21" t="s">
        <v>700</v>
      </c>
      <c r="Z76" s="21" t="s">
        <v>701</v>
      </c>
      <c r="AA76" s="21" t="s">
        <v>702</v>
      </c>
      <c r="AB76" s="21" t="s">
        <v>703</v>
      </c>
      <c r="AC76" s="21" t="s">
        <v>704</v>
      </c>
      <c r="AD76" s="37">
        <v>3500</v>
      </c>
      <c r="AE76" s="23" t="s">
        <v>115</v>
      </c>
      <c r="AF76" s="38"/>
      <c r="AG76" s="23" t="s">
        <v>116</v>
      </c>
      <c r="AH76" s="38"/>
      <c r="AI76" s="25" t="s">
        <v>117</v>
      </c>
      <c r="AJ76" s="38"/>
      <c r="AK76" s="25" t="s">
        <v>117</v>
      </c>
      <c r="AL76" s="22">
        <v>0</v>
      </c>
      <c r="AM76" s="23" t="s">
        <v>115</v>
      </c>
      <c r="AN76" s="38"/>
      <c r="AO76" s="25" t="s">
        <v>117</v>
      </c>
      <c r="AP76" s="39" t="s">
        <v>683</v>
      </c>
      <c r="AQ76" s="23" t="s">
        <v>115</v>
      </c>
      <c r="AR76" s="38"/>
      <c r="AS76" s="23" t="s">
        <v>117</v>
      </c>
      <c r="AT76" s="39" t="s">
        <v>118</v>
      </c>
      <c r="AU76" s="23" t="s">
        <v>116</v>
      </c>
      <c r="AV76" s="39" t="s">
        <v>118</v>
      </c>
      <c r="AW76" s="23" t="s">
        <v>115</v>
      </c>
      <c r="AX76" s="39" t="s">
        <v>118</v>
      </c>
      <c r="AY76" s="23" t="s">
        <v>115</v>
      </c>
      <c r="AZ76" s="39" t="s">
        <v>118</v>
      </c>
      <c r="BA76" s="23" t="s">
        <v>115</v>
      </c>
      <c r="BB76" s="40"/>
      <c r="BC76" s="23" t="s">
        <v>115</v>
      </c>
      <c r="BD76" s="39" t="s">
        <v>683</v>
      </c>
      <c r="BE76" s="23" t="s">
        <v>115</v>
      </c>
      <c r="BF76" s="39" t="s">
        <v>683</v>
      </c>
      <c r="BG76" s="23" t="s">
        <v>115</v>
      </c>
      <c r="BH76" s="40"/>
      <c r="BI76" s="25" t="s">
        <v>117</v>
      </c>
      <c r="BJ76" s="40"/>
      <c r="BK76" s="25" t="s">
        <v>117</v>
      </c>
      <c r="BL76" s="40"/>
      <c r="BM76" s="25" t="s">
        <v>117</v>
      </c>
      <c r="BN76" s="40"/>
      <c r="BO76" s="25" t="s">
        <v>117</v>
      </c>
      <c r="BP76" s="40"/>
      <c r="BQ76" s="25" t="s">
        <v>117</v>
      </c>
      <c r="BR76" s="40"/>
      <c r="BS76" s="25" t="s">
        <v>117</v>
      </c>
      <c r="BT76" s="40"/>
      <c r="BU76" s="25" t="s">
        <v>117</v>
      </c>
      <c r="BV76" s="40"/>
      <c r="BW76" s="25" t="s">
        <v>117</v>
      </c>
      <c r="BX76" s="40"/>
      <c r="BY76" s="25" t="s">
        <v>117</v>
      </c>
      <c r="BZ76" s="40"/>
      <c r="CA76" s="25" t="s">
        <v>117</v>
      </c>
      <c r="CB76" s="40"/>
      <c r="CC76" s="25" t="s">
        <v>117</v>
      </c>
      <c r="CD76" s="40"/>
      <c r="CE76" s="25" t="s">
        <v>117</v>
      </c>
      <c r="CF76" s="40"/>
      <c r="CG76" s="25" t="s">
        <v>117</v>
      </c>
      <c r="CH76" s="40"/>
      <c r="CI76" s="25"/>
      <c r="CJ76" s="40"/>
      <c r="CK76" s="41" t="s">
        <v>117</v>
      </c>
      <c r="CL76" s="40"/>
      <c r="CM76" s="41" t="s">
        <v>117</v>
      </c>
      <c r="CN76" s="40"/>
      <c r="CO76" s="25" t="s">
        <v>117</v>
      </c>
      <c r="CP76" s="30">
        <v>400</v>
      </c>
      <c r="CQ76" s="23" t="s">
        <v>115</v>
      </c>
      <c r="CR76" s="32"/>
      <c r="CS76" s="23" t="s">
        <v>117</v>
      </c>
      <c r="CT76" s="32"/>
      <c r="CU76" s="23" t="s">
        <v>117</v>
      </c>
      <c r="CV76" s="32"/>
      <c r="CW76" s="23" t="s">
        <v>117</v>
      </c>
      <c r="CX76" s="32"/>
      <c r="CY76" s="25" t="s">
        <v>117</v>
      </c>
      <c r="CZ76" s="32"/>
      <c r="DA76" s="25" t="s">
        <v>117</v>
      </c>
      <c r="DB76" s="33" t="s">
        <v>120</v>
      </c>
      <c r="DC76" s="25" t="s">
        <v>116</v>
      </c>
      <c r="DD76" s="34">
        <f>ROUND(0.075*SUM(AD76,AF76,AH76,AJ76,AL76,AN76,AP76,AR76,AT76,AV76,AX76,AZ76,BB76,BR76,BT76,BV76,BX76,BZ76,CB76,CD76,CF76,CJ76,CL76,CN76,CP76,CR76,CT76,CV76,CX76,CZ76),0)</f>
        <v>293</v>
      </c>
      <c r="DE76" t="s">
        <v>705</v>
      </c>
      <c r="DF76" t="str">
        <f>A76&amp;"#"&amp;C76&amp;"#"&amp;D76</f>
        <v>China#Company#China Rep Office</v>
      </c>
      <c r="DG76" t="b">
        <f>DE76=DF76</f>
        <v>1</v>
      </c>
    </row>
    <row r="77" spans="1:111" ht="78.75" hidden="1" customHeight="1" x14ac:dyDescent="0.35">
      <c r="A77" s="184" t="s">
        <v>706</v>
      </c>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c r="AA77" s="184"/>
      <c r="AB77" s="184"/>
      <c r="AC77" s="184"/>
      <c r="AD77" s="184"/>
      <c r="AE77" s="184"/>
      <c r="AF77" s="184"/>
      <c r="AG77" s="184"/>
      <c r="AH77" s="184"/>
      <c r="AI77" s="184"/>
      <c r="AJ77" s="184"/>
      <c r="AK77" s="184"/>
      <c r="AL77" s="184"/>
      <c r="AM77" s="184"/>
      <c r="AN77" s="184"/>
      <c r="AO77" s="184"/>
      <c r="AP77" s="184"/>
      <c r="AQ77" s="184"/>
      <c r="AR77" s="184"/>
      <c r="AS77" s="184"/>
      <c r="AT77" s="184"/>
      <c r="AU77" s="184"/>
      <c r="AV77" s="184"/>
      <c r="AW77" s="184"/>
      <c r="AX77" s="184"/>
      <c r="AY77" s="184"/>
      <c r="AZ77" s="184"/>
      <c r="BA77" s="184"/>
      <c r="BB77" s="184"/>
      <c r="BC77" s="184"/>
      <c r="BD77" s="184"/>
      <c r="BE77" s="184"/>
      <c r="BF77" s="184"/>
      <c r="BG77" s="184"/>
      <c r="BH77" s="184"/>
      <c r="BI77" s="184"/>
      <c r="BJ77" s="184"/>
      <c r="BK77" s="184"/>
      <c r="BL77" s="184"/>
      <c r="BM77" s="184"/>
      <c r="BN77" s="184"/>
      <c r="BO77" s="184"/>
      <c r="BP77" s="184"/>
      <c r="BQ77" s="184"/>
      <c r="BR77" s="184"/>
      <c r="BS77" s="184"/>
      <c r="BT77" s="184"/>
      <c r="BU77" s="184"/>
      <c r="BV77" s="184"/>
      <c r="BW77" s="184"/>
      <c r="BX77" s="184"/>
      <c r="BY77" s="184"/>
      <c r="BZ77" s="184"/>
      <c r="CA77" s="184"/>
      <c r="CB77" s="184"/>
      <c r="CC77" s="184"/>
      <c r="CD77" s="184"/>
      <c r="CE77" s="184"/>
      <c r="CF77" s="184"/>
      <c r="CG77" s="184"/>
      <c r="CH77" s="184"/>
      <c r="CI77" s="184"/>
      <c r="CJ77" s="184"/>
      <c r="CK77" s="184"/>
      <c r="CL77" s="184"/>
      <c r="CM77" s="184"/>
      <c r="CN77" s="184"/>
      <c r="CO77" s="184"/>
      <c r="CP77" s="184"/>
      <c r="CQ77" s="184"/>
      <c r="CR77" s="184"/>
      <c r="CS77" s="184"/>
      <c r="CT77" s="184"/>
      <c r="CU77" s="184"/>
      <c r="CV77" s="184"/>
      <c r="CW77" s="184"/>
      <c r="CX77" s="184"/>
      <c r="CY77" s="184"/>
      <c r="CZ77" s="184"/>
      <c r="DA77" s="184"/>
      <c r="DB77" s="184"/>
      <c r="DC77" s="184"/>
      <c r="DE77" t="s">
        <v>85</v>
      </c>
      <c r="DF77" t="str">
        <f>A74&amp;"#"&amp;C74&amp;"#"&amp;D74</f>
        <v xml:space="preserve">   CHINA##</v>
      </c>
    </row>
    <row r="78" spans="1:111" ht="78.75" hidden="1" customHeight="1" x14ac:dyDescent="0.35">
      <c r="A78" s="72" t="s">
        <v>707</v>
      </c>
      <c r="B78" s="18" t="s">
        <v>708</v>
      </c>
      <c r="C78" s="72" t="s">
        <v>88</v>
      </c>
      <c r="D78" s="73" t="s">
        <v>709</v>
      </c>
      <c r="E78" s="72" t="s">
        <v>710</v>
      </c>
      <c r="F78" s="20" t="s">
        <v>711</v>
      </c>
      <c r="G78" s="20" t="s">
        <v>712</v>
      </c>
      <c r="H78" s="20" t="s">
        <v>93</v>
      </c>
      <c r="I78" s="20" t="s">
        <v>94</v>
      </c>
      <c r="J78" s="20" t="s">
        <v>713</v>
      </c>
      <c r="K78" s="20" t="s">
        <v>96</v>
      </c>
      <c r="L78" s="20" t="s">
        <v>97</v>
      </c>
      <c r="M78" s="20" t="s">
        <v>98</v>
      </c>
      <c r="N78" s="20" t="s">
        <v>714</v>
      </c>
      <c r="O78" s="20" t="s">
        <v>100</v>
      </c>
      <c r="P78" s="20" t="s">
        <v>101</v>
      </c>
      <c r="Q78" s="20" t="s">
        <v>102</v>
      </c>
      <c r="R78" s="20" t="s">
        <v>103</v>
      </c>
      <c r="S78" s="20" t="s">
        <v>104</v>
      </c>
      <c r="T78" s="20" t="s">
        <v>105</v>
      </c>
      <c r="U78" s="20" t="s">
        <v>106</v>
      </c>
      <c r="V78" s="21" t="s">
        <v>243</v>
      </c>
      <c r="W78" s="21" t="s">
        <v>715</v>
      </c>
      <c r="X78" s="21" t="s">
        <v>109</v>
      </c>
      <c r="Y78" s="21" t="s">
        <v>716</v>
      </c>
      <c r="Z78" s="21" t="s">
        <v>256</v>
      </c>
      <c r="AA78" s="21" t="s">
        <v>112</v>
      </c>
      <c r="AB78" s="21" t="s">
        <v>717</v>
      </c>
      <c r="AC78" s="21" t="s">
        <v>718</v>
      </c>
      <c r="AD78" s="61">
        <v>3020</v>
      </c>
      <c r="AE78" s="23" t="s">
        <v>115</v>
      </c>
      <c r="AF78" s="74"/>
      <c r="AG78" s="23" t="s">
        <v>116</v>
      </c>
      <c r="AH78" s="74"/>
      <c r="AI78" s="25" t="s">
        <v>117</v>
      </c>
      <c r="AJ78" s="74"/>
      <c r="AK78" s="25" t="s">
        <v>117</v>
      </c>
      <c r="AL78" s="22">
        <v>0</v>
      </c>
      <c r="AM78" s="23" t="s">
        <v>115</v>
      </c>
      <c r="AN78" s="74"/>
      <c r="AO78" s="25" t="s">
        <v>117</v>
      </c>
      <c r="AP78" s="61">
        <v>2650</v>
      </c>
      <c r="AQ78" s="23" t="s">
        <v>115</v>
      </c>
      <c r="AR78" s="74"/>
      <c r="AS78" s="23" t="s">
        <v>117</v>
      </c>
      <c r="AT78" s="58" t="s">
        <v>118</v>
      </c>
      <c r="AU78" s="23" t="s">
        <v>116</v>
      </c>
      <c r="AV78" s="61">
        <v>2230</v>
      </c>
      <c r="AW78" s="23" t="s">
        <v>116</v>
      </c>
      <c r="AX78" s="58" t="s">
        <v>118</v>
      </c>
      <c r="AY78" s="23" t="s">
        <v>115</v>
      </c>
      <c r="AZ78" s="61">
        <v>75</v>
      </c>
      <c r="BA78" s="23" t="s">
        <v>115</v>
      </c>
      <c r="BB78" s="26">
        <v>100</v>
      </c>
      <c r="BC78" s="23" t="s">
        <v>115</v>
      </c>
      <c r="BD78" s="58" t="s">
        <v>118</v>
      </c>
      <c r="BE78" s="23" t="s">
        <v>115</v>
      </c>
      <c r="BF78" s="26">
        <v>500</v>
      </c>
      <c r="BG78" s="23" t="s">
        <v>115</v>
      </c>
      <c r="BH78" s="74"/>
      <c r="BI78" s="25" t="s">
        <v>117</v>
      </c>
      <c r="BJ78" s="74"/>
      <c r="BK78" s="25" t="s">
        <v>117</v>
      </c>
      <c r="BL78" s="74"/>
      <c r="BM78" s="25" t="s">
        <v>117</v>
      </c>
      <c r="BN78" s="74"/>
      <c r="BO78" s="25" t="s">
        <v>117</v>
      </c>
      <c r="BP78" s="74"/>
      <c r="BQ78" s="25" t="s">
        <v>117</v>
      </c>
      <c r="BR78" s="74"/>
      <c r="BS78" s="25" t="s">
        <v>117</v>
      </c>
      <c r="BT78" s="74"/>
      <c r="BU78" s="25" t="s">
        <v>117</v>
      </c>
      <c r="BV78" s="74"/>
      <c r="BW78" s="25" t="s">
        <v>117</v>
      </c>
      <c r="BX78" s="74"/>
      <c r="BY78" s="25" t="s">
        <v>117</v>
      </c>
      <c r="BZ78" s="74"/>
      <c r="CA78" s="25" t="s">
        <v>117</v>
      </c>
      <c r="CB78" s="74"/>
      <c r="CC78" s="25" t="s">
        <v>117</v>
      </c>
      <c r="CD78" s="74"/>
      <c r="CE78" s="25" t="s">
        <v>117</v>
      </c>
      <c r="CF78" s="74"/>
      <c r="CG78" s="25" t="s">
        <v>117</v>
      </c>
      <c r="CH78" s="74"/>
      <c r="CI78" s="25"/>
      <c r="CJ78" s="74"/>
      <c r="CK78" s="62" t="s">
        <v>117</v>
      </c>
      <c r="CL78" s="74"/>
      <c r="CM78" s="62" t="s">
        <v>117</v>
      </c>
      <c r="CN78" s="74"/>
      <c r="CO78" s="25" t="s">
        <v>117</v>
      </c>
      <c r="CP78" s="30">
        <v>400</v>
      </c>
      <c r="CQ78" s="23" t="s">
        <v>115</v>
      </c>
      <c r="CR78" s="32"/>
      <c r="CS78" s="23" t="s">
        <v>117</v>
      </c>
      <c r="CT78" s="32"/>
      <c r="CU78" s="23" t="s">
        <v>117</v>
      </c>
      <c r="CV78" s="32"/>
      <c r="CW78" s="23" t="s">
        <v>117</v>
      </c>
      <c r="CX78" s="32"/>
      <c r="CY78" s="25" t="s">
        <v>117</v>
      </c>
      <c r="CZ78" s="32"/>
      <c r="DA78" s="25" t="s">
        <v>117</v>
      </c>
      <c r="DB78" s="33" t="s">
        <v>120</v>
      </c>
      <c r="DC78" s="25" t="s">
        <v>116</v>
      </c>
      <c r="DD78" s="34">
        <f t="shared" ref="DD78:DD88" si="15">ROUND(0.075*SUM(AD78,AF78,AH78,AJ78,AL78,AN78,AP78,AR78,AT78,AV78,AX78,AZ78,BB78,BR78,BT78,BV78,BX78,BZ78,CB78,CD78,CF78,CJ78,CL78,CN78,CP78,CR78,CT78,CV78,CX78,CZ78),0)</f>
        <v>636</v>
      </c>
      <c r="DE78" t="s">
        <v>719</v>
      </c>
      <c r="DF78" t="str">
        <f t="shared" ref="DF78:DF88" si="16">A78&amp;"#"&amp;C78&amp;"#"&amp;D78</f>
        <v>Curacao#Company#Curacao BV</v>
      </c>
      <c r="DG78" t="b">
        <f t="shared" ref="DG78:DG88" si="17">DE78=DF78</f>
        <v>1</v>
      </c>
    </row>
    <row r="79" spans="1:111" ht="78.75" hidden="1" customHeight="1" x14ac:dyDescent="0.35">
      <c r="A79" s="18" t="s">
        <v>707</v>
      </c>
      <c r="B79" s="18" t="s">
        <v>708</v>
      </c>
      <c r="C79" s="18" t="s">
        <v>88</v>
      </c>
      <c r="D79" s="19" t="s">
        <v>720</v>
      </c>
      <c r="E79" s="18" t="s">
        <v>90</v>
      </c>
      <c r="F79" s="20" t="s">
        <v>721</v>
      </c>
      <c r="G79" s="20" t="s">
        <v>722</v>
      </c>
      <c r="H79" s="20" t="s">
        <v>93</v>
      </c>
      <c r="I79" s="20" t="s">
        <v>94</v>
      </c>
      <c r="J79" s="20" t="s">
        <v>713</v>
      </c>
      <c r="K79" s="20" t="s">
        <v>96</v>
      </c>
      <c r="L79" s="20" t="s">
        <v>97</v>
      </c>
      <c r="M79" s="20" t="s">
        <v>98</v>
      </c>
      <c r="N79" s="20" t="s">
        <v>714</v>
      </c>
      <c r="O79" s="20" t="s">
        <v>100</v>
      </c>
      <c r="P79" s="20" t="s">
        <v>101</v>
      </c>
      <c r="Q79" s="20" t="s">
        <v>102</v>
      </c>
      <c r="R79" s="20" t="s">
        <v>103</v>
      </c>
      <c r="S79" s="20" t="s">
        <v>104</v>
      </c>
      <c r="T79" s="20" t="s">
        <v>105</v>
      </c>
      <c r="U79" s="20" t="s">
        <v>106</v>
      </c>
      <c r="V79" s="21" t="s">
        <v>243</v>
      </c>
      <c r="W79" s="21" t="s">
        <v>715</v>
      </c>
      <c r="X79" s="21" t="s">
        <v>109</v>
      </c>
      <c r="Y79" s="21" t="s">
        <v>723</v>
      </c>
      <c r="Z79" s="21" t="s">
        <v>256</v>
      </c>
      <c r="AA79" s="21" t="s">
        <v>112</v>
      </c>
      <c r="AB79" s="21" t="s">
        <v>724</v>
      </c>
      <c r="AC79" s="21" t="s">
        <v>725</v>
      </c>
      <c r="AD79" s="22">
        <v>3020</v>
      </c>
      <c r="AE79" s="23" t="s">
        <v>115</v>
      </c>
      <c r="AF79" s="24"/>
      <c r="AG79" s="23" t="s">
        <v>116</v>
      </c>
      <c r="AH79" s="24"/>
      <c r="AI79" s="25" t="s">
        <v>117</v>
      </c>
      <c r="AJ79" s="24"/>
      <c r="AK79" s="25" t="s">
        <v>117</v>
      </c>
      <c r="AL79" s="22">
        <v>0</v>
      </c>
      <c r="AM79" s="23" t="s">
        <v>115</v>
      </c>
      <c r="AN79" s="24"/>
      <c r="AO79" s="25" t="s">
        <v>117</v>
      </c>
      <c r="AP79" s="22">
        <v>2650</v>
      </c>
      <c r="AQ79" s="23" t="s">
        <v>115</v>
      </c>
      <c r="AR79" s="24"/>
      <c r="AS79" s="23" t="s">
        <v>117</v>
      </c>
      <c r="AT79" s="27" t="s">
        <v>118</v>
      </c>
      <c r="AU79" s="23" t="s">
        <v>116</v>
      </c>
      <c r="AV79" s="22">
        <v>2230</v>
      </c>
      <c r="AW79" s="23" t="s">
        <v>116</v>
      </c>
      <c r="AX79" s="27" t="s">
        <v>118</v>
      </c>
      <c r="AY79" s="23" t="s">
        <v>115</v>
      </c>
      <c r="AZ79" s="22">
        <v>75</v>
      </c>
      <c r="BA79" s="23" t="s">
        <v>115</v>
      </c>
      <c r="BB79" s="26">
        <v>100</v>
      </c>
      <c r="BC79" s="23" t="s">
        <v>115</v>
      </c>
      <c r="BD79" s="22">
        <v>1200</v>
      </c>
      <c r="BE79" s="23" t="s">
        <v>115</v>
      </c>
      <c r="BF79" s="22">
        <v>500</v>
      </c>
      <c r="BG79" s="23" t="s">
        <v>115</v>
      </c>
      <c r="BH79" s="24"/>
      <c r="BI79" s="25" t="s">
        <v>117</v>
      </c>
      <c r="BJ79" s="24"/>
      <c r="BK79" s="25" t="s">
        <v>117</v>
      </c>
      <c r="BL79" s="24"/>
      <c r="BM79" s="25" t="s">
        <v>117</v>
      </c>
      <c r="BN79" s="24"/>
      <c r="BO79" s="25" t="s">
        <v>117</v>
      </c>
      <c r="BP79" s="24"/>
      <c r="BQ79" s="25" t="s">
        <v>117</v>
      </c>
      <c r="BR79" s="24"/>
      <c r="BS79" s="25" t="s">
        <v>117</v>
      </c>
      <c r="BT79" s="24"/>
      <c r="BU79" s="25" t="s">
        <v>117</v>
      </c>
      <c r="BV79" s="24"/>
      <c r="BW79" s="25" t="s">
        <v>117</v>
      </c>
      <c r="BX79" s="24"/>
      <c r="BY79" s="25" t="s">
        <v>117</v>
      </c>
      <c r="BZ79" s="24"/>
      <c r="CA79" s="25" t="s">
        <v>117</v>
      </c>
      <c r="CB79" s="24"/>
      <c r="CC79" s="25" t="s">
        <v>117</v>
      </c>
      <c r="CD79" s="24"/>
      <c r="CE79" s="25" t="s">
        <v>117</v>
      </c>
      <c r="CF79" s="24"/>
      <c r="CG79" s="25" t="s">
        <v>117</v>
      </c>
      <c r="CH79" s="24"/>
      <c r="CI79" s="25"/>
      <c r="CJ79" s="24"/>
      <c r="CK79" s="29" t="s">
        <v>117</v>
      </c>
      <c r="CL79" s="24"/>
      <c r="CM79" s="29" t="s">
        <v>117</v>
      </c>
      <c r="CN79" s="24"/>
      <c r="CO79" s="25" t="s">
        <v>117</v>
      </c>
      <c r="CP79" s="30">
        <v>400</v>
      </c>
      <c r="CQ79" s="23" t="s">
        <v>115</v>
      </c>
      <c r="CR79" s="32"/>
      <c r="CS79" s="23" t="s">
        <v>117</v>
      </c>
      <c r="CT79" s="32"/>
      <c r="CU79" s="23" t="s">
        <v>117</v>
      </c>
      <c r="CV79" s="32"/>
      <c r="CW79" s="23" t="s">
        <v>117</v>
      </c>
      <c r="CX79" s="32"/>
      <c r="CY79" s="25" t="s">
        <v>117</v>
      </c>
      <c r="CZ79" s="32"/>
      <c r="DA79" s="25" t="s">
        <v>117</v>
      </c>
      <c r="DB79" s="33" t="s">
        <v>120</v>
      </c>
      <c r="DC79" s="25" t="s">
        <v>116</v>
      </c>
      <c r="DD79" s="34">
        <f t="shared" si="15"/>
        <v>636</v>
      </c>
      <c r="DE79" t="s">
        <v>726</v>
      </c>
      <c r="DF79" t="str">
        <f t="shared" si="16"/>
        <v>Curacao#Company#Curacao NV</v>
      </c>
      <c r="DG79" t="b">
        <f t="shared" si="17"/>
        <v>1</v>
      </c>
    </row>
    <row r="80" spans="1:111" ht="78.75" customHeight="1" x14ac:dyDescent="0.35">
      <c r="A80" s="72" t="s">
        <v>707</v>
      </c>
      <c r="B80" s="18" t="s">
        <v>727</v>
      </c>
      <c r="C80" s="72" t="s">
        <v>141</v>
      </c>
      <c r="D80" s="73" t="s">
        <v>720</v>
      </c>
      <c r="E80" s="72" t="s">
        <v>90</v>
      </c>
      <c r="F80" s="20" t="s">
        <v>721</v>
      </c>
      <c r="G80" s="20" t="s">
        <v>728</v>
      </c>
      <c r="H80" s="20" t="s">
        <v>145</v>
      </c>
      <c r="I80" s="20" t="s">
        <v>146</v>
      </c>
      <c r="J80" s="20" t="s">
        <v>713</v>
      </c>
      <c r="K80" s="20" t="s">
        <v>96</v>
      </c>
      <c r="L80" s="20" t="s">
        <v>97</v>
      </c>
      <c r="M80" s="20" t="s">
        <v>98</v>
      </c>
      <c r="N80" s="20" t="s">
        <v>147</v>
      </c>
      <c r="O80" s="20" t="s">
        <v>148</v>
      </c>
      <c r="P80" s="20" t="s">
        <v>149</v>
      </c>
      <c r="Q80" s="20" t="s">
        <v>150</v>
      </c>
      <c r="R80" s="20" t="s">
        <v>151</v>
      </c>
      <c r="S80" s="20" t="s">
        <v>152</v>
      </c>
      <c r="T80" s="20" t="s">
        <v>153</v>
      </c>
      <c r="U80" s="20" t="s">
        <v>154</v>
      </c>
      <c r="V80" s="21" t="s">
        <v>155</v>
      </c>
      <c r="W80" s="21" t="s">
        <v>203</v>
      </c>
      <c r="X80" s="21" t="s">
        <v>109</v>
      </c>
      <c r="Y80" s="21" t="s">
        <v>729</v>
      </c>
      <c r="Z80" s="21" t="s">
        <v>256</v>
      </c>
      <c r="AA80" s="21" t="s">
        <v>112</v>
      </c>
      <c r="AB80" s="21" t="s">
        <v>730</v>
      </c>
      <c r="AC80" s="21" t="s">
        <v>731</v>
      </c>
      <c r="AD80" s="74"/>
      <c r="AE80" s="23" t="s">
        <v>115</v>
      </c>
      <c r="AF80" s="74"/>
      <c r="AG80" s="23" t="s">
        <v>116</v>
      </c>
      <c r="AH80" s="74"/>
      <c r="AI80" s="25" t="s">
        <v>117</v>
      </c>
      <c r="AJ80" s="74"/>
      <c r="AK80" s="25" t="s">
        <v>117</v>
      </c>
      <c r="AL80" s="22">
        <v>0</v>
      </c>
      <c r="AM80" s="23" t="s">
        <v>115</v>
      </c>
      <c r="AN80" s="74"/>
      <c r="AO80" s="25" t="s">
        <v>117</v>
      </c>
      <c r="AP80" s="61">
        <v>2650</v>
      </c>
      <c r="AQ80" s="23" t="s">
        <v>115</v>
      </c>
      <c r="AR80" s="74"/>
      <c r="AS80" s="23" t="s">
        <v>117</v>
      </c>
      <c r="AT80" s="58" t="s">
        <v>118</v>
      </c>
      <c r="AU80" s="23" t="s">
        <v>116</v>
      </c>
      <c r="AV80" s="61">
        <v>2230</v>
      </c>
      <c r="AW80" s="23" t="s">
        <v>116</v>
      </c>
      <c r="AX80" s="58" t="s">
        <v>118</v>
      </c>
      <c r="AY80" s="23" t="s">
        <v>115</v>
      </c>
      <c r="AZ80" s="61">
        <v>75</v>
      </c>
      <c r="BA80" s="23" t="s">
        <v>115</v>
      </c>
      <c r="BB80" s="74"/>
      <c r="BC80" s="23" t="s">
        <v>115</v>
      </c>
      <c r="BD80" s="61">
        <v>1200</v>
      </c>
      <c r="BE80" s="23" t="s">
        <v>115</v>
      </c>
      <c r="BF80" s="61">
        <v>500</v>
      </c>
      <c r="BG80" s="23" t="s">
        <v>115</v>
      </c>
      <c r="BH80" s="74"/>
      <c r="BI80" s="25" t="s">
        <v>117</v>
      </c>
      <c r="BJ80" s="74"/>
      <c r="BK80" s="25" t="s">
        <v>117</v>
      </c>
      <c r="BL80" s="74"/>
      <c r="BM80" s="25" t="s">
        <v>117</v>
      </c>
      <c r="BN80" s="74"/>
      <c r="BO80" s="25" t="s">
        <v>117</v>
      </c>
      <c r="BP80" s="74"/>
      <c r="BQ80" s="25" t="s">
        <v>117</v>
      </c>
      <c r="BR80" s="61">
        <v>12000</v>
      </c>
      <c r="BS80" s="25" t="s">
        <v>115</v>
      </c>
      <c r="BT80" s="74"/>
      <c r="BU80" s="25" t="s">
        <v>117</v>
      </c>
      <c r="BV80" s="74"/>
      <c r="BW80" s="25" t="s">
        <v>117</v>
      </c>
      <c r="BX80" s="74"/>
      <c r="BY80" s="25" t="s">
        <v>117</v>
      </c>
      <c r="BZ80" s="46"/>
      <c r="CA80" s="25" t="s">
        <v>117</v>
      </c>
      <c r="CB80" s="45" t="s">
        <v>159</v>
      </c>
      <c r="CC80" s="25" t="s">
        <v>116</v>
      </c>
      <c r="CD80" s="74"/>
      <c r="CE80" s="25" t="s">
        <v>117</v>
      </c>
      <c r="CF80" s="74"/>
      <c r="CG80" s="25" t="s">
        <v>117</v>
      </c>
      <c r="CH80" s="151">
        <v>5000</v>
      </c>
      <c r="CI80" s="25" t="s">
        <v>116</v>
      </c>
      <c r="CJ80" s="151">
        <v>2500</v>
      </c>
      <c r="CK80" s="48" t="s">
        <v>116</v>
      </c>
      <c r="CL80" s="46">
        <v>1500</v>
      </c>
      <c r="CM80" s="48" t="s">
        <v>116</v>
      </c>
      <c r="CN80" s="46">
        <v>1500</v>
      </c>
      <c r="CO80" s="25" t="s">
        <v>116</v>
      </c>
      <c r="CP80" s="30">
        <v>400</v>
      </c>
      <c r="CQ80" s="23" t="s">
        <v>115</v>
      </c>
      <c r="CR80" s="32"/>
      <c r="CS80" s="23" t="s">
        <v>117</v>
      </c>
      <c r="CT80" s="32"/>
      <c r="CU80" s="23" t="s">
        <v>117</v>
      </c>
      <c r="CV80" s="32"/>
      <c r="CW80" s="23" t="s">
        <v>117</v>
      </c>
      <c r="CX80" s="32"/>
      <c r="CY80" s="25" t="s">
        <v>117</v>
      </c>
      <c r="CZ80" s="32"/>
      <c r="DA80" s="25" t="s">
        <v>117</v>
      </c>
      <c r="DB80" s="33" t="s">
        <v>120</v>
      </c>
      <c r="DC80" s="25" t="s">
        <v>116</v>
      </c>
      <c r="DD80" s="34">
        <f t="shared" si="15"/>
        <v>1714</v>
      </c>
      <c r="DE80" t="s">
        <v>732</v>
      </c>
      <c r="DF80" t="str">
        <f t="shared" si="16"/>
        <v>Curacao#Fund#Curacao NV</v>
      </c>
      <c r="DG80" t="b">
        <f t="shared" si="17"/>
        <v>1</v>
      </c>
    </row>
    <row r="81" spans="1:111" ht="157.5" customHeight="1" x14ac:dyDescent="0.35">
      <c r="A81" s="18" t="s">
        <v>707</v>
      </c>
      <c r="B81" s="18" t="s">
        <v>727</v>
      </c>
      <c r="C81" s="18" t="s">
        <v>141</v>
      </c>
      <c r="D81" s="19" t="s">
        <v>709</v>
      </c>
      <c r="E81" s="18" t="s">
        <v>710</v>
      </c>
      <c r="F81" s="20" t="s">
        <v>711</v>
      </c>
      <c r="G81" s="20" t="s">
        <v>733</v>
      </c>
      <c r="H81" s="20" t="s">
        <v>145</v>
      </c>
      <c r="I81" s="20" t="s">
        <v>146</v>
      </c>
      <c r="J81" s="20" t="s">
        <v>713</v>
      </c>
      <c r="K81" s="20" t="s">
        <v>96</v>
      </c>
      <c r="L81" s="20" t="s">
        <v>97</v>
      </c>
      <c r="M81" s="20" t="s">
        <v>98</v>
      </c>
      <c r="N81" s="20" t="s">
        <v>147</v>
      </c>
      <c r="O81" s="20" t="s">
        <v>148</v>
      </c>
      <c r="P81" s="20" t="s">
        <v>149</v>
      </c>
      <c r="Q81" s="20" t="s">
        <v>150</v>
      </c>
      <c r="R81" s="20" t="s">
        <v>151</v>
      </c>
      <c r="S81" s="20" t="s">
        <v>152</v>
      </c>
      <c r="T81" s="20" t="s">
        <v>153</v>
      </c>
      <c r="U81" s="20" t="s">
        <v>154</v>
      </c>
      <c r="V81" s="21" t="s">
        <v>155</v>
      </c>
      <c r="W81" s="21" t="s">
        <v>203</v>
      </c>
      <c r="X81" s="21" t="s">
        <v>109</v>
      </c>
      <c r="Y81" s="21" t="s">
        <v>734</v>
      </c>
      <c r="Z81" s="21" t="s">
        <v>256</v>
      </c>
      <c r="AA81" s="21" t="s">
        <v>112</v>
      </c>
      <c r="AB81" s="21" t="s">
        <v>735</v>
      </c>
      <c r="AC81" s="21" t="s">
        <v>736</v>
      </c>
      <c r="AD81" s="24"/>
      <c r="AE81" s="23" t="s">
        <v>115</v>
      </c>
      <c r="AF81" s="24"/>
      <c r="AG81" s="23" t="s">
        <v>116</v>
      </c>
      <c r="AH81" s="24"/>
      <c r="AI81" s="25" t="s">
        <v>117</v>
      </c>
      <c r="AJ81" s="24"/>
      <c r="AK81" s="25" t="s">
        <v>117</v>
      </c>
      <c r="AL81" s="22">
        <v>0</v>
      </c>
      <c r="AM81" s="23" t="s">
        <v>115</v>
      </c>
      <c r="AN81" s="24"/>
      <c r="AO81" s="25" t="s">
        <v>117</v>
      </c>
      <c r="AP81" s="22"/>
      <c r="AQ81" s="23" t="s">
        <v>115</v>
      </c>
      <c r="AR81" s="24"/>
      <c r="AS81" s="23" t="s">
        <v>117</v>
      </c>
      <c r="AT81" s="27" t="s">
        <v>118</v>
      </c>
      <c r="AU81" s="23" t="s">
        <v>116</v>
      </c>
      <c r="AV81" s="22"/>
      <c r="AW81" s="23" t="s">
        <v>115</v>
      </c>
      <c r="AX81" s="27" t="s">
        <v>118</v>
      </c>
      <c r="AY81" s="23" t="s">
        <v>115</v>
      </c>
      <c r="AZ81" s="22"/>
      <c r="BA81" s="23" t="s">
        <v>115</v>
      </c>
      <c r="BB81" s="24"/>
      <c r="BC81" s="23" t="s">
        <v>115</v>
      </c>
      <c r="BD81" s="27" t="s">
        <v>118</v>
      </c>
      <c r="BE81" s="23" t="s">
        <v>115</v>
      </c>
      <c r="BF81" s="22"/>
      <c r="BG81" s="23" t="s">
        <v>115</v>
      </c>
      <c r="BH81" s="24"/>
      <c r="BI81" s="25" t="s">
        <v>117</v>
      </c>
      <c r="BJ81" s="24"/>
      <c r="BK81" s="25" t="s">
        <v>117</v>
      </c>
      <c r="BL81" s="24"/>
      <c r="BM81" s="25" t="s">
        <v>117</v>
      </c>
      <c r="BN81" s="24"/>
      <c r="BO81" s="25" t="s">
        <v>117</v>
      </c>
      <c r="BP81" s="24"/>
      <c r="BQ81" s="25" t="s">
        <v>117</v>
      </c>
      <c r="BR81" s="22">
        <v>12000</v>
      </c>
      <c r="BS81" s="25" t="s">
        <v>115</v>
      </c>
      <c r="BT81" s="24"/>
      <c r="BU81" s="25" t="s">
        <v>117</v>
      </c>
      <c r="BV81" s="24"/>
      <c r="BW81" s="25" t="s">
        <v>117</v>
      </c>
      <c r="BX81" s="24"/>
      <c r="BY81" s="25" t="s">
        <v>117</v>
      </c>
      <c r="BZ81" s="46"/>
      <c r="CA81" s="25" t="s">
        <v>117</v>
      </c>
      <c r="CB81" s="45" t="s">
        <v>159</v>
      </c>
      <c r="CC81" s="25" t="s">
        <v>116</v>
      </c>
      <c r="CD81" s="24"/>
      <c r="CE81" s="25" t="s">
        <v>117</v>
      </c>
      <c r="CF81" s="24"/>
      <c r="CG81" s="25" t="s">
        <v>117</v>
      </c>
      <c r="CH81" s="151">
        <v>5000</v>
      </c>
      <c r="CI81" s="25" t="s">
        <v>116</v>
      </c>
      <c r="CJ81" s="151">
        <v>2500</v>
      </c>
      <c r="CK81" s="48" t="s">
        <v>116</v>
      </c>
      <c r="CL81" s="46">
        <v>1500</v>
      </c>
      <c r="CM81" s="48" t="s">
        <v>116</v>
      </c>
      <c r="CN81" s="46">
        <v>1500</v>
      </c>
      <c r="CO81" s="25" t="s">
        <v>116</v>
      </c>
      <c r="CP81" s="30">
        <v>400</v>
      </c>
      <c r="CQ81" s="23" t="s">
        <v>115</v>
      </c>
      <c r="CR81" s="32"/>
      <c r="CS81" s="23" t="s">
        <v>117</v>
      </c>
      <c r="CT81" s="32"/>
      <c r="CU81" s="23" t="s">
        <v>117</v>
      </c>
      <c r="CV81" s="32"/>
      <c r="CW81" s="23" t="s">
        <v>117</v>
      </c>
      <c r="CX81" s="32"/>
      <c r="CY81" s="25" t="s">
        <v>117</v>
      </c>
      <c r="CZ81" s="32"/>
      <c r="DA81" s="25" t="s">
        <v>117</v>
      </c>
      <c r="DB81" s="33" t="s">
        <v>120</v>
      </c>
      <c r="DC81" s="25" t="s">
        <v>116</v>
      </c>
      <c r="DD81" s="34">
        <f t="shared" si="15"/>
        <v>1343</v>
      </c>
      <c r="DE81" t="s">
        <v>737</v>
      </c>
      <c r="DF81" t="str">
        <f t="shared" si="16"/>
        <v>Curacao#Fund#Curacao BV</v>
      </c>
      <c r="DG81" t="b">
        <f t="shared" si="17"/>
        <v>1</v>
      </c>
    </row>
    <row r="82" spans="1:111" ht="78.75" customHeight="1" x14ac:dyDescent="0.35">
      <c r="A82" s="72" t="s">
        <v>707</v>
      </c>
      <c r="B82" s="18" t="s">
        <v>727</v>
      </c>
      <c r="C82" s="72" t="s">
        <v>141</v>
      </c>
      <c r="D82" s="73" t="s">
        <v>738</v>
      </c>
      <c r="E82" s="72" t="s">
        <v>90</v>
      </c>
      <c r="F82" s="20" t="s">
        <v>739</v>
      </c>
      <c r="G82" s="20" t="s">
        <v>740</v>
      </c>
      <c r="H82" s="20" t="s">
        <v>145</v>
      </c>
      <c r="I82" s="20" t="s">
        <v>146</v>
      </c>
      <c r="J82" s="20" t="s">
        <v>713</v>
      </c>
      <c r="K82" s="20" t="s">
        <v>96</v>
      </c>
      <c r="L82" s="20" t="s">
        <v>97</v>
      </c>
      <c r="M82" s="20" t="s">
        <v>98</v>
      </c>
      <c r="N82" s="20" t="s">
        <v>147</v>
      </c>
      <c r="O82" s="20" t="s">
        <v>148</v>
      </c>
      <c r="P82" s="20" t="s">
        <v>149</v>
      </c>
      <c r="Q82" s="20" t="s">
        <v>150</v>
      </c>
      <c r="R82" s="20" t="s">
        <v>151</v>
      </c>
      <c r="S82" s="20" t="s">
        <v>152</v>
      </c>
      <c r="T82" s="20" t="s">
        <v>153</v>
      </c>
      <c r="U82" s="20" t="s">
        <v>154</v>
      </c>
      <c r="V82" s="21" t="s">
        <v>292</v>
      </c>
      <c r="W82" s="21" t="s">
        <v>741</v>
      </c>
      <c r="X82" s="21" t="s">
        <v>164</v>
      </c>
      <c r="Y82" s="21" t="s">
        <v>742</v>
      </c>
      <c r="Z82" s="21" t="s">
        <v>256</v>
      </c>
      <c r="AA82" s="21" t="s">
        <v>166</v>
      </c>
      <c r="AB82" s="21" t="s">
        <v>743</v>
      </c>
      <c r="AC82" s="21" t="s">
        <v>744</v>
      </c>
      <c r="AD82" s="26"/>
      <c r="AE82" s="23" t="s">
        <v>115</v>
      </c>
      <c r="AF82" s="74"/>
      <c r="AG82" s="23" t="s">
        <v>116</v>
      </c>
      <c r="AH82" s="74"/>
      <c r="AI82" s="25" t="s">
        <v>117</v>
      </c>
      <c r="AJ82" s="74"/>
      <c r="AK82" s="25" t="s">
        <v>117</v>
      </c>
      <c r="AL82" s="22">
        <v>0</v>
      </c>
      <c r="AM82" s="23" t="s">
        <v>115</v>
      </c>
      <c r="AN82" s="74"/>
      <c r="AO82" s="25" t="s">
        <v>117</v>
      </c>
      <c r="AP82" s="58" t="s">
        <v>118</v>
      </c>
      <c r="AQ82" s="23" t="s">
        <v>115</v>
      </c>
      <c r="AR82" s="75"/>
      <c r="AS82" s="23" t="s">
        <v>117</v>
      </c>
      <c r="AT82" s="58" t="s">
        <v>118</v>
      </c>
      <c r="AU82" s="23" t="s">
        <v>116</v>
      </c>
      <c r="AV82" s="61"/>
      <c r="AW82" s="23" t="s">
        <v>115</v>
      </c>
      <c r="AX82" s="58" t="s">
        <v>118</v>
      </c>
      <c r="AY82" s="23" t="s">
        <v>115</v>
      </c>
      <c r="AZ82" s="61"/>
      <c r="BA82" s="23" t="s">
        <v>115</v>
      </c>
      <c r="BB82" s="26"/>
      <c r="BC82" s="23" t="s">
        <v>115</v>
      </c>
      <c r="BD82" s="61"/>
      <c r="BE82" s="23" t="s">
        <v>115</v>
      </c>
      <c r="BF82" s="58" t="s">
        <v>118</v>
      </c>
      <c r="BG82" s="23" t="s">
        <v>115</v>
      </c>
      <c r="BH82" s="75"/>
      <c r="BI82" s="25" t="s">
        <v>117</v>
      </c>
      <c r="BJ82" s="75"/>
      <c r="BK82" s="25" t="s">
        <v>117</v>
      </c>
      <c r="BL82" s="75"/>
      <c r="BM82" s="25" t="s">
        <v>117</v>
      </c>
      <c r="BN82" s="75"/>
      <c r="BO82" s="25" t="s">
        <v>117</v>
      </c>
      <c r="BP82" s="75"/>
      <c r="BQ82" s="25" t="s">
        <v>117</v>
      </c>
      <c r="BR82" s="61">
        <v>12000</v>
      </c>
      <c r="BS82" s="25" t="s">
        <v>115</v>
      </c>
      <c r="BT82" s="75"/>
      <c r="BU82" s="25" t="s">
        <v>117</v>
      </c>
      <c r="BV82" s="75"/>
      <c r="BW82" s="25" t="s">
        <v>117</v>
      </c>
      <c r="BX82" s="75"/>
      <c r="BY82" s="25" t="s">
        <v>117</v>
      </c>
      <c r="BZ82" s="46"/>
      <c r="CA82" s="25" t="s">
        <v>117</v>
      </c>
      <c r="CB82" s="45" t="s">
        <v>159</v>
      </c>
      <c r="CC82" s="25" t="s">
        <v>116</v>
      </c>
      <c r="CD82" s="75"/>
      <c r="CE82" s="25" t="s">
        <v>117</v>
      </c>
      <c r="CF82" s="75"/>
      <c r="CG82" s="25" t="s">
        <v>117</v>
      </c>
      <c r="CH82" s="151">
        <v>5000</v>
      </c>
      <c r="CI82" s="25" t="s">
        <v>116</v>
      </c>
      <c r="CJ82" s="151">
        <v>2500</v>
      </c>
      <c r="CK82" s="48" t="s">
        <v>116</v>
      </c>
      <c r="CL82" s="46">
        <v>1500</v>
      </c>
      <c r="CM82" s="48" t="s">
        <v>116</v>
      </c>
      <c r="CN82" s="46">
        <v>1500</v>
      </c>
      <c r="CO82" s="25" t="s">
        <v>116</v>
      </c>
      <c r="CP82" s="30">
        <v>400</v>
      </c>
      <c r="CQ82" s="23" t="s">
        <v>115</v>
      </c>
      <c r="CR82" s="32"/>
      <c r="CS82" s="23" t="s">
        <v>117</v>
      </c>
      <c r="CT82" s="32"/>
      <c r="CU82" s="23" t="s">
        <v>117</v>
      </c>
      <c r="CV82" s="32"/>
      <c r="CW82" s="23" t="s">
        <v>117</v>
      </c>
      <c r="CX82" s="32"/>
      <c r="CY82" s="25" t="s">
        <v>117</v>
      </c>
      <c r="CZ82" s="32"/>
      <c r="DA82" s="25" t="s">
        <v>117</v>
      </c>
      <c r="DB82" s="33" t="s">
        <v>120</v>
      </c>
      <c r="DC82" s="25" t="s">
        <v>116</v>
      </c>
      <c r="DD82" s="34">
        <f t="shared" si="15"/>
        <v>1343</v>
      </c>
      <c r="DE82" t="s">
        <v>745</v>
      </c>
      <c r="DF82" t="str">
        <f t="shared" si="16"/>
        <v>Curacao#Fund#Curacao CV</v>
      </c>
      <c r="DG82" t="b">
        <f t="shared" si="17"/>
        <v>1</v>
      </c>
    </row>
    <row r="83" spans="1:111" ht="78.75" hidden="1" customHeight="1" x14ac:dyDescent="0.35">
      <c r="A83" s="18" t="s">
        <v>707</v>
      </c>
      <c r="B83" s="18" t="s">
        <v>727</v>
      </c>
      <c r="C83" s="18" t="s">
        <v>746</v>
      </c>
      <c r="D83" s="19" t="s">
        <v>747</v>
      </c>
      <c r="E83" s="18" t="s">
        <v>90</v>
      </c>
      <c r="F83" s="20" t="s">
        <v>748</v>
      </c>
      <c r="G83" s="20" t="s">
        <v>749</v>
      </c>
      <c r="H83" s="20" t="s">
        <v>145</v>
      </c>
      <c r="I83" s="20" t="s">
        <v>146</v>
      </c>
      <c r="J83" s="20" t="s">
        <v>713</v>
      </c>
      <c r="K83" s="20" t="s">
        <v>96</v>
      </c>
      <c r="L83" s="20" t="s">
        <v>97</v>
      </c>
      <c r="M83" s="20" t="s">
        <v>98</v>
      </c>
      <c r="N83" s="20" t="s">
        <v>147</v>
      </c>
      <c r="O83" s="20" t="s">
        <v>148</v>
      </c>
      <c r="P83" s="20" t="s">
        <v>149</v>
      </c>
      <c r="Q83" s="20" t="s">
        <v>150</v>
      </c>
      <c r="R83" s="20" t="s">
        <v>151</v>
      </c>
      <c r="S83" s="20" t="s">
        <v>152</v>
      </c>
      <c r="T83" s="20" t="s">
        <v>153</v>
      </c>
      <c r="U83" s="20" t="s">
        <v>154</v>
      </c>
      <c r="V83" s="21" t="s">
        <v>746</v>
      </c>
      <c r="W83" s="21" t="s">
        <v>741</v>
      </c>
      <c r="X83" s="21" t="s">
        <v>750</v>
      </c>
      <c r="Y83" s="21" t="s">
        <v>751</v>
      </c>
      <c r="Z83" s="21" t="s">
        <v>256</v>
      </c>
      <c r="AA83" s="21" t="s">
        <v>752</v>
      </c>
      <c r="AB83" s="21" t="s">
        <v>753</v>
      </c>
      <c r="AC83" s="21" t="s">
        <v>754</v>
      </c>
      <c r="AD83" s="22">
        <v>3020</v>
      </c>
      <c r="AE83" s="23" t="s">
        <v>115</v>
      </c>
      <c r="AF83" s="24"/>
      <c r="AG83" s="23" t="s">
        <v>116</v>
      </c>
      <c r="AH83" s="24"/>
      <c r="AI83" s="25" t="s">
        <v>117</v>
      </c>
      <c r="AJ83" s="24"/>
      <c r="AK83" s="25" t="s">
        <v>117</v>
      </c>
      <c r="AL83" s="22">
        <v>0</v>
      </c>
      <c r="AM83" s="23" t="s">
        <v>115</v>
      </c>
      <c r="AN83" s="24"/>
      <c r="AO83" s="25" t="s">
        <v>117</v>
      </c>
      <c r="AP83" s="22">
        <v>2230</v>
      </c>
      <c r="AQ83" s="23" t="s">
        <v>115</v>
      </c>
      <c r="AR83" s="24"/>
      <c r="AS83" s="23" t="s">
        <v>117</v>
      </c>
      <c r="AT83" s="27" t="s">
        <v>118</v>
      </c>
      <c r="AU83" s="23" t="s">
        <v>116</v>
      </c>
      <c r="AV83" s="22">
        <v>2650</v>
      </c>
      <c r="AW83" s="23" t="s">
        <v>116</v>
      </c>
      <c r="AX83" s="27" t="s">
        <v>118</v>
      </c>
      <c r="AY83" s="23" t="s">
        <v>115</v>
      </c>
      <c r="AZ83" s="22">
        <v>75</v>
      </c>
      <c r="BA83" s="23" t="s">
        <v>115</v>
      </c>
      <c r="BB83" s="26">
        <v>100</v>
      </c>
      <c r="BC83" s="23" t="s">
        <v>115</v>
      </c>
      <c r="BD83" s="27" t="s">
        <v>118</v>
      </c>
      <c r="BE83" s="23" t="s">
        <v>115</v>
      </c>
      <c r="BF83" s="27" t="s">
        <v>118</v>
      </c>
      <c r="BG83" s="23" t="s">
        <v>115</v>
      </c>
      <c r="BH83" s="28"/>
      <c r="BI83" s="25" t="s">
        <v>117</v>
      </c>
      <c r="BJ83" s="28"/>
      <c r="BK83" s="25" t="s">
        <v>117</v>
      </c>
      <c r="BL83" s="28"/>
      <c r="BM83" s="25" t="s">
        <v>117</v>
      </c>
      <c r="BN83" s="28"/>
      <c r="BO83" s="25" t="s">
        <v>117</v>
      </c>
      <c r="BP83" s="28"/>
      <c r="BQ83" s="25" t="s">
        <v>117</v>
      </c>
      <c r="BR83" s="28"/>
      <c r="BS83" s="25" t="s">
        <v>117</v>
      </c>
      <c r="BT83" s="28"/>
      <c r="BU83" s="25" t="s">
        <v>117</v>
      </c>
      <c r="BV83" s="28"/>
      <c r="BW83" s="25" t="s">
        <v>117</v>
      </c>
      <c r="BX83" s="28"/>
      <c r="BY83" s="25" t="s">
        <v>117</v>
      </c>
      <c r="BZ83" s="28"/>
      <c r="CA83" s="25" t="s">
        <v>117</v>
      </c>
      <c r="CB83" s="28"/>
      <c r="CC83" s="25" t="s">
        <v>117</v>
      </c>
      <c r="CD83" s="28"/>
      <c r="CE83" s="25" t="s">
        <v>117</v>
      </c>
      <c r="CF83" s="28"/>
      <c r="CG83" s="25" t="s">
        <v>117</v>
      </c>
      <c r="CH83" s="28"/>
      <c r="CI83" s="25"/>
      <c r="CJ83" s="28"/>
      <c r="CK83" s="29" t="s">
        <v>117</v>
      </c>
      <c r="CL83" s="28"/>
      <c r="CM83" s="29" t="s">
        <v>117</v>
      </c>
      <c r="CN83" s="28"/>
      <c r="CO83" s="25" t="s">
        <v>117</v>
      </c>
      <c r="CP83" s="30">
        <v>400</v>
      </c>
      <c r="CQ83" s="23" t="s">
        <v>115</v>
      </c>
      <c r="CR83" s="32"/>
      <c r="CS83" s="23" t="s">
        <v>117</v>
      </c>
      <c r="CT83" s="32"/>
      <c r="CU83" s="23" t="s">
        <v>117</v>
      </c>
      <c r="CV83" s="32"/>
      <c r="CW83" s="23" t="s">
        <v>117</v>
      </c>
      <c r="CX83" s="32"/>
      <c r="CY83" s="25" t="s">
        <v>117</v>
      </c>
      <c r="CZ83" s="32"/>
      <c r="DA83" s="25" t="s">
        <v>117</v>
      </c>
      <c r="DB83" s="33" t="s">
        <v>120</v>
      </c>
      <c r="DC83" s="25" t="s">
        <v>116</v>
      </c>
      <c r="DD83" s="34">
        <f t="shared" si="15"/>
        <v>636</v>
      </c>
      <c r="DE83" t="s">
        <v>755</v>
      </c>
      <c r="DF83" t="str">
        <f t="shared" si="16"/>
        <v>Curacao#Foundation#Curacao SPF</v>
      </c>
      <c r="DG83" t="b">
        <f t="shared" si="17"/>
        <v>1</v>
      </c>
    </row>
    <row r="84" spans="1:111" ht="78.75" hidden="1" customHeight="1" x14ac:dyDescent="0.35">
      <c r="A84" s="72" t="s">
        <v>707</v>
      </c>
      <c r="B84" s="18" t="s">
        <v>539</v>
      </c>
      <c r="C84" s="72" t="s">
        <v>540</v>
      </c>
      <c r="D84" s="73" t="s">
        <v>756</v>
      </c>
      <c r="E84" s="72" t="s">
        <v>90</v>
      </c>
      <c r="F84" s="20" t="s">
        <v>757</v>
      </c>
      <c r="G84" s="20" t="s">
        <v>758</v>
      </c>
      <c r="H84" s="20" t="s">
        <v>544</v>
      </c>
      <c r="I84" s="20" t="s">
        <v>545</v>
      </c>
      <c r="J84" s="20" t="s">
        <v>546</v>
      </c>
      <c r="K84" s="20" t="s">
        <v>547</v>
      </c>
      <c r="L84" s="20" t="s">
        <v>548</v>
      </c>
      <c r="M84" s="20" t="s">
        <v>549</v>
      </c>
      <c r="N84" s="20" t="s">
        <v>550</v>
      </c>
      <c r="O84" s="20" t="s">
        <v>551</v>
      </c>
      <c r="P84" s="20" t="s">
        <v>552</v>
      </c>
      <c r="Q84" s="20" t="s">
        <v>553</v>
      </c>
      <c r="R84" s="20" t="s">
        <v>554</v>
      </c>
      <c r="S84" s="20" t="s">
        <v>555</v>
      </c>
      <c r="T84" s="20" t="s">
        <v>556</v>
      </c>
      <c r="U84" s="20" t="s">
        <v>557</v>
      </c>
      <c r="V84" s="21" t="s">
        <v>267</v>
      </c>
      <c r="W84" s="21" t="s">
        <v>203</v>
      </c>
      <c r="X84" s="21" t="s">
        <v>109</v>
      </c>
      <c r="Y84" s="21" t="s">
        <v>729</v>
      </c>
      <c r="Z84" s="21" t="s">
        <v>256</v>
      </c>
      <c r="AA84" s="21" t="s">
        <v>112</v>
      </c>
      <c r="AB84" s="21" t="s">
        <v>559</v>
      </c>
      <c r="AC84" s="21" t="s">
        <v>759</v>
      </c>
      <c r="AD84" s="74"/>
      <c r="AE84" s="23" t="s">
        <v>116</v>
      </c>
      <c r="AF84" s="74"/>
      <c r="AG84" s="23" t="s">
        <v>116</v>
      </c>
      <c r="AH84" s="74"/>
      <c r="AI84" s="25" t="s">
        <v>117</v>
      </c>
      <c r="AJ84" s="74"/>
      <c r="AK84" s="25" t="s">
        <v>117</v>
      </c>
      <c r="AL84" s="74"/>
      <c r="AM84" s="78" t="s">
        <v>117</v>
      </c>
      <c r="AN84" s="74"/>
      <c r="AO84" s="25" t="s">
        <v>117</v>
      </c>
      <c r="AP84" s="79" t="s">
        <v>760</v>
      </c>
      <c r="AQ84" s="78" t="s">
        <v>116</v>
      </c>
      <c r="AR84" s="75"/>
      <c r="AS84" s="78" t="s">
        <v>117</v>
      </c>
      <c r="AT84" s="79" t="s">
        <v>760</v>
      </c>
      <c r="AU84" s="23" t="s">
        <v>116</v>
      </c>
      <c r="AV84" s="75"/>
      <c r="AW84" s="23" t="s">
        <v>116</v>
      </c>
      <c r="AX84" s="74"/>
      <c r="AY84" s="23" t="s">
        <v>116</v>
      </c>
      <c r="AZ84" s="74"/>
      <c r="BA84" s="23" t="s">
        <v>116</v>
      </c>
      <c r="BB84" s="74"/>
      <c r="BC84" s="23" t="s">
        <v>116</v>
      </c>
      <c r="BD84" s="74"/>
      <c r="BE84" s="23" t="s">
        <v>116</v>
      </c>
      <c r="BF84" s="74"/>
      <c r="BG84" s="23" t="s">
        <v>116</v>
      </c>
      <c r="BH84" s="74"/>
      <c r="BI84" s="25" t="s">
        <v>117</v>
      </c>
      <c r="BJ84" s="74"/>
      <c r="BK84" s="25" t="s">
        <v>117</v>
      </c>
      <c r="BL84" s="74"/>
      <c r="BM84" s="25" t="s">
        <v>117</v>
      </c>
      <c r="BN84" s="74"/>
      <c r="BO84" s="25" t="s">
        <v>117</v>
      </c>
      <c r="BP84" s="74"/>
      <c r="BQ84" s="25" t="s">
        <v>117</v>
      </c>
      <c r="BS84" s="25" t="s">
        <v>117</v>
      </c>
      <c r="BT84" s="61">
        <v>15000</v>
      </c>
      <c r="BU84" s="25" t="s">
        <v>116</v>
      </c>
      <c r="BV84" s="46"/>
      <c r="BW84" s="25" t="s">
        <v>117</v>
      </c>
      <c r="BX84" s="80"/>
      <c r="BY84" s="25" t="s">
        <v>117</v>
      </c>
      <c r="CA84" s="25" t="s">
        <v>117</v>
      </c>
      <c r="CB84" s="58">
        <v>0.45</v>
      </c>
      <c r="CC84" s="25" t="s">
        <v>116</v>
      </c>
      <c r="CE84" s="25" t="s">
        <v>117</v>
      </c>
      <c r="CG84" s="25" t="s">
        <v>117</v>
      </c>
      <c r="CH84" s="45" t="s">
        <v>561</v>
      </c>
      <c r="CI84" s="25"/>
      <c r="CJ84" s="45" t="s">
        <v>561</v>
      </c>
      <c r="CK84" s="29" t="s">
        <v>116</v>
      </c>
      <c r="CL84" s="45" t="s">
        <v>561</v>
      </c>
      <c r="CM84" s="29" t="s">
        <v>116</v>
      </c>
      <c r="CN84" s="45" t="s">
        <v>561</v>
      </c>
      <c r="CO84" s="25" t="s">
        <v>116</v>
      </c>
      <c r="CP84" s="30">
        <v>400</v>
      </c>
      <c r="CQ84" s="23" t="s">
        <v>115</v>
      </c>
      <c r="CR84" s="32"/>
      <c r="CS84" s="23" t="s">
        <v>117</v>
      </c>
      <c r="CT84" s="32"/>
      <c r="CU84" s="23" t="s">
        <v>117</v>
      </c>
      <c r="CV84" s="32"/>
      <c r="CW84" s="23" t="s">
        <v>117</v>
      </c>
      <c r="CX84" s="31" t="s">
        <v>561</v>
      </c>
      <c r="CY84" s="25" t="s">
        <v>116</v>
      </c>
      <c r="CZ84" s="31" t="s">
        <v>561</v>
      </c>
      <c r="DA84" s="25" t="s">
        <v>116</v>
      </c>
      <c r="DB84" s="33" t="s">
        <v>120</v>
      </c>
      <c r="DC84" s="25" t="s">
        <v>116</v>
      </c>
      <c r="DD84" s="34">
        <f t="shared" si="15"/>
        <v>1155</v>
      </c>
      <c r="DE84" s="77" t="s">
        <v>761</v>
      </c>
      <c r="DF84" s="81" t="str">
        <f t="shared" si="16"/>
        <v xml:space="preserve">Curacao#Fund - compartment#Curacao Fund B.V. Compartment 
</v>
      </c>
      <c r="DG84" t="b">
        <f t="shared" si="17"/>
        <v>0</v>
      </c>
    </row>
    <row r="85" spans="1:111" ht="78.75" customHeight="1" x14ac:dyDescent="0.35">
      <c r="A85" s="35" t="s">
        <v>707</v>
      </c>
      <c r="B85" s="18" t="s">
        <v>727</v>
      </c>
      <c r="C85" s="35" t="s">
        <v>141</v>
      </c>
      <c r="D85" s="36" t="s">
        <v>762</v>
      </c>
      <c r="E85" s="35" t="s">
        <v>90</v>
      </c>
      <c r="F85" s="20" t="s">
        <v>124</v>
      </c>
      <c r="G85" s="20" t="s">
        <v>763</v>
      </c>
      <c r="H85" s="20" t="s">
        <v>145</v>
      </c>
      <c r="I85" s="20" t="s">
        <v>146</v>
      </c>
      <c r="J85" s="20" t="s">
        <v>713</v>
      </c>
      <c r="K85" s="20" t="s">
        <v>96</v>
      </c>
      <c r="L85" s="20" t="s">
        <v>97</v>
      </c>
      <c r="M85" s="20" t="s">
        <v>98</v>
      </c>
      <c r="N85" s="20" t="s">
        <v>147</v>
      </c>
      <c r="O85" s="20" t="s">
        <v>148</v>
      </c>
      <c r="P85" s="20" t="s">
        <v>149</v>
      </c>
      <c r="Q85" s="20" t="s">
        <v>150</v>
      </c>
      <c r="R85" s="20" t="s">
        <v>151</v>
      </c>
      <c r="S85" s="20" t="s">
        <v>152</v>
      </c>
      <c r="T85" s="20" t="s">
        <v>153</v>
      </c>
      <c r="U85" s="20" t="s">
        <v>154</v>
      </c>
      <c r="V85" s="21" t="s">
        <v>122</v>
      </c>
      <c r="W85" s="21" t="s">
        <v>764</v>
      </c>
      <c r="X85" s="21" t="s">
        <v>109</v>
      </c>
      <c r="Y85" s="21" t="s">
        <v>765</v>
      </c>
      <c r="Z85" s="21" t="s">
        <v>111</v>
      </c>
      <c r="AA85" s="21"/>
      <c r="AB85" s="21" t="s">
        <v>766</v>
      </c>
      <c r="AC85" s="21" t="s">
        <v>767</v>
      </c>
      <c r="AD85" s="38"/>
      <c r="AE85" s="23" t="s">
        <v>115</v>
      </c>
      <c r="AF85" s="38"/>
      <c r="AG85" s="23" t="s">
        <v>116</v>
      </c>
      <c r="AH85" s="38"/>
      <c r="AI85" s="25" t="s">
        <v>117</v>
      </c>
      <c r="AJ85" s="38"/>
      <c r="AK85" s="25" t="s">
        <v>117</v>
      </c>
      <c r="AL85" s="22">
        <v>0</v>
      </c>
      <c r="AM85" s="23" t="s">
        <v>115</v>
      </c>
      <c r="AN85" s="38"/>
      <c r="AO85" s="25" t="s">
        <v>117</v>
      </c>
      <c r="AP85" s="39" t="s">
        <v>118</v>
      </c>
      <c r="AQ85" s="23" t="s">
        <v>115</v>
      </c>
      <c r="AR85" s="40"/>
      <c r="AS85" s="23" t="s">
        <v>117</v>
      </c>
      <c r="AT85" s="39" t="s">
        <v>118</v>
      </c>
      <c r="AU85" s="23" t="s">
        <v>116</v>
      </c>
      <c r="AV85" s="39" t="s">
        <v>118</v>
      </c>
      <c r="AW85" s="23" t="s">
        <v>115</v>
      </c>
      <c r="AX85" s="39" t="s">
        <v>118</v>
      </c>
      <c r="AY85" s="23" t="s">
        <v>115</v>
      </c>
      <c r="AZ85" s="39" t="s">
        <v>118</v>
      </c>
      <c r="BA85" s="23" t="s">
        <v>115</v>
      </c>
      <c r="BB85" s="40"/>
      <c r="BC85" s="23" t="s">
        <v>115</v>
      </c>
      <c r="BD85" s="39" t="s">
        <v>118</v>
      </c>
      <c r="BE85" s="23" t="s">
        <v>115</v>
      </c>
      <c r="BF85" s="39" t="s">
        <v>118</v>
      </c>
      <c r="BG85" s="23" t="s">
        <v>115</v>
      </c>
      <c r="BH85" s="40"/>
      <c r="BI85" s="25" t="s">
        <v>117</v>
      </c>
      <c r="BJ85" s="40"/>
      <c r="BK85" s="25" t="s">
        <v>117</v>
      </c>
      <c r="BL85" s="40"/>
      <c r="BM85" s="25" t="s">
        <v>117</v>
      </c>
      <c r="BN85" s="40"/>
      <c r="BO85" s="25" t="s">
        <v>117</v>
      </c>
      <c r="BP85" s="40"/>
      <c r="BQ85" s="25" t="s">
        <v>117</v>
      </c>
      <c r="BR85" s="37">
        <v>10000</v>
      </c>
      <c r="BS85" s="25" t="s">
        <v>115</v>
      </c>
      <c r="BT85" s="40"/>
      <c r="BU85" s="25" t="s">
        <v>117</v>
      </c>
      <c r="BV85" s="40"/>
      <c r="BW85" s="25" t="s">
        <v>117</v>
      </c>
      <c r="BX85" s="40"/>
      <c r="BY85" s="25" t="s">
        <v>117</v>
      </c>
      <c r="BZ85" s="46"/>
      <c r="CA85" s="25" t="s">
        <v>117</v>
      </c>
      <c r="CB85" s="45" t="s">
        <v>159</v>
      </c>
      <c r="CC85" s="25" t="s">
        <v>116</v>
      </c>
      <c r="CD85" s="40"/>
      <c r="CE85" s="25" t="s">
        <v>117</v>
      </c>
      <c r="CF85" s="40"/>
      <c r="CG85" s="25" t="s">
        <v>117</v>
      </c>
      <c r="CH85" s="151">
        <v>5000</v>
      </c>
      <c r="CI85" s="25" t="s">
        <v>116</v>
      </c>
      <c r="CJ85" s="151">
        <v>2500</v>
      </c>
      <c r="CK85" s="48" t="s">
        <v>116</v>
      </c>
      <c r="CL85" s="46">
        <v>1500</v>
      </c>
      <c r="CM85" s="48" t="s">
        <v>116</v>
      </c>
      <c r="CN85" s="46">
        <v>1500</v>
      </c>
      <c r="CO85" s="25" t="s">
        <v>116</v>
      </c>
      <c r="CP85" s="30">
        <v>400</v>
      </c>
      <c r="CQ85" s="23" t="s">
        <v>115</v>
      </c>
      <c r="CR85" s="32"/>
      <c r="CS85" s="23" t="s">
        <v>117</v>
      </c>
      <c r="CT85" s="32"/>
      <c r="CU85" s="23" t="s">
        <v>117</v>
      </c>
      <c r="CV85" s="32"/>
      <c r="CW85" s="23" t="s">
        <v>117</v>
      </c>
      <c r="CX85" s="32"/>
      <c r="CY85" s="25" t="s">
        <v>117</v>
      </c>
      <c r="CZ85" s="32"/>
      <c r="DA85" s="25" t="s">
        <v>117</v>
      </c>
      <c r="DB85" s="33" t="s">
        <v>120</v>
      </c>
      <c r="DC85" s="25" t="s">
        <v>116</v>
      </c>
      <c r="DD85" s="34">
        <f t="shared" si="15"/>
        <v>1193</v>
      </c>
      <c r="DE85" t="s">
        <v>768</v>
      </c>
      <c r="DF85" t="str">
        <f t="shared" si="16"/>
        <v>Curacao#Fund#Curacao Trust</v>
      </c>
      <c r="DG85" t="b">
        <f t="shared" si="17"/>
        <v>1</v>
      </c>
    </row>
    <row r="86" spans="1:111" ht="66" customHeight="1" x14ac:dyDescent="0.35">
      <c r="A86" s="42" t="s">
        <v>707</v>
      </c>
      <c r="B86" s="18" t="s">
        <v>727</v>
      </c>
      <c r="C86" s="42" t="s">
        <v>141</v>
      </c>
      <c r="D86" s="43" t="s">
        <v>769</v>
      </c>
      <c r="E86" s="42" t="s">
        <v>90</v>
      </c>
      <c r="F86" s="20" t="s">
        <v>770</v>
      </c>
      <c r="G86" s="20" t="s">
        <v>771</v>
      </c>
      <c r="H86" s="20" t="s">
        <v>145</v>
      </c>
      <c r="I86" s="20" t="s">
        <v>146</v>
      </c>
      <c r="J86" s="20" t="s">
        <v>713</v>
      </c>
      <c r="K86" s="20" t="s">
        <v>96</v>
      </c>
      <c r="L86" s="20" t="s">
        <v>97</v>
      </c>
      <c r="M86" s="20" t="s">
        <v>98</v>
      </c>
      <c r="N86" s="20" t="s">
        <v>147</v>
      </c>
      <c r="O86" s="20" t="s">
        <v>148</v>
      </c>
      <c r="P86" s="20" t="s">
        <v>149</v>
      </c>
      <c r="Q86" s="20" t="s">
        <v>150</v>
      </c>
      <c r="R86" s="20" t="s">
        <v>151</v>
      </c>
      <c r="S86" s="20" t="s">
        <v>152</v>
      </c>
      <c r="T86" s="20" t="s">
        <v>153</v>
      </c>
      <c r="U86" s="20" t="s">
        <v>154</v>
      </c>
      <c r="V86" s="21" t="s">
        <v>659</v>
      </c>
      <c r="W86" s="21" t="s">
        <v>741</v>
      </c>
      <c r="X86" s="21" t="s">
        <v>772</v>
      </c>
      <c r="Y86" s="21" t="s">
        <v>773</v>
      </c>
      <c r="Z86" s="21" t="s">
        <v>256</v>
      </c>
      <c r="AA86" s="21" t="s">
        <v>630</v>
      </c>
      <c r="AB86" s="21" t="s">
        <v>774</v>
      </c>
      <c r="AC86" s="21" t="s">
        <v>775</v>
      </c>
      <c r="AD86" s="44"/>
      <c r="AE86" s="23" t="s">
        <v>115</v>
      </c>
      <c r="AF86" s="44"/>
      <c r="AG86" s="23" t="s">
        <v>116</v>
      </c>
      <c r="AH86" s="44"/>
      <c r="AI86" s="25" t="s">
        <v>117</v>
      </c>
      <c r="AJ86" s="44"/>
      <c r="AK86" s="25" t="s">
        <v>117</v>
      </c>
      <c r="AL86" s="22">
        <v>0</v>
      </c>
      <c r="AM86" s="23" t="s">
        <v>115</v>
      </c>
      <c r="AN86" s="44"/>
      <c r="AO86" s="25" t="s">
        <v>117</v>
      </c>
      <c r="AP86" s="45" t="s">
        <v>118</v>
      </c>
      <c r="AQ86" s="23" t="s">
        <v>115</v>
      </c>
      <c r="AR86" s="46"/>
      <c r="AS86" s="23" t="s">
        <v>117</v>
      </c>
      <c r="AT86" s="45" t="s">
        <v>118</v>
      </c>
      <c r="AU86" s="23" t="s">
        <v>116</v>
      </c>
      <c r="AV86" s="45" t="s">
        <v>118</v>
      </c>
      <c r="AW86" s="23" t="s">
        <v>115</v>
      </c>
      <c r="AX86" s="45" t="s">
        <v>118</v>
      </c>
      <c r="AY86" s="23" t="s">
        <v>115</v>
      </c>
      <c r="AZ86" s="45" t="s">
        <v>118</v>
      </c>
      <c r="BA86" s="23" t="s">
        <v>115</v>
      </c>
      <c r="BB86" s="46"/>
      <c r="BC86" s="23" t="s">
        <v>115</v>
      </c>
      <c r="BD86" s="45" t="s">
        <v>118</v>
      </c>
      <c r="BE86" s="23" t="s">
        <v>115</v>
      </c>
      <c r="BF86" s="45" t="s">
        <v>118</v>
      </c>
      <c r="BG86" s="23" t="s">
        <v>115</v>
      </c>
      <c r="BH86" s="46"/>
      <c r="BI86" s="25" t="s">
        <v>117</v>
      </c>
      <c r="BJ86" s="46"/>
      <c r="BK86" s="25" t="s">
        <v>117</v>
      </c>
      <c r="BL86" s="46"/>
      <c r="BM86" s="25" t="s">
        <v>117</v>
      </c>
      <c r="BN86" s="46"/>
      <c r="BO86" s="25" t="s">
        <v>117</v>
      </c>
      <c r="BP86" s="46"/>
      <c r="BQ86" s="25" t="s">
        <v>117</v>
      </c>
      <c r="BR86" s="47">
        <v>10000</v>
      </c>
      <c r="BS86" s="25" t="s">
        <v>115</v>
      </c>
      <c r="BT86" s="46"/>
      <c r="BU86" s="25" t="s">
        <v>117</v>
      </c>
      <c r="BV86" s="46"/>
      <c r="BW86" s="25" t="s">
        <v>117</v>
      </c>
      <c r="BX86" s="46"/>
      <c r="BY86" s="25" t="s">
        <v>117</v>
      </c>
      <c r="BZ86" s="46"/>
      <c r="CA86" s="25" t="s">
        <v>117</v>
      </c>
      <c r="CB86" s="45" t="s">
        <v>159</v>
      </c>
      <c r="CC86" s="25" t="s">
        <v>116</v>
      </c>
      <c r="CD86" s="46"/>
      <c r="CE86" s="25" t="s">
        <v>117</v>
      </c>
      <c r="CF86" s="46"/>
      <c r="CG86" s="25" t="s">
        <v>117</v>
      </c>
      <c r="CH86" s="151">
        <v>5000</v>
      </c>
      <c r="CI86" s="25" t="s">
        <v>116</v>
      </c>
      <c r="CJ86" s="151">
        <v>2500</v>
      </c>
      <c r="CK86" s="48" t="s">
        <v>116</v>
      </c>
      <c r="CL86" s="46">
        <v>1500</v>
      </c>
      <c r="CM86" s="48" t="s">
        <v>116</v>
      </c>
      <c r="CN86" s="46">
        <v>1500</v>
      </c>
      <c r="CO86" s="25" t="s">
        <v>116</v>
      </c>
      <c r="CP86" s="30">
        <v>400</v>
      </c>
      <c r="CQ86" s="23" t="s">
        <v>115</v>
      </c>
      <c r="CR86" s="32"/>
      <c r="CS86" s="23" t="s">
        <v>117</v>
      </c>
      <c r="CT86" s="32"/>
      <c r="CU86" s="23" t="s">
        <v>117</v>
      </c>
      <c r="CV86" s="32"/>
      <c r="CW86" s="23" t="s">
        <v>117</v>
      </c>
      <c r="CX86" s="32"/>
      <c r="CY86" s="25" t="s">
        <v>117</v>
      </c>
      <c r="CZ86" s="32"/>
      <c r="DA86" s="25" t="s">
        <v>117</v>
      </c>
      <c r="DB86" s="33" t="s">
        <v>120</v>
      </c>
      <c r="DC86" s="25" t="s">
        <v>116</v>
      </c>
      <c r="DD86" s="34">
        <f t="shared" si="15"/>
        <v>1193</v>
      </c>
      <c r="DE86" t="s">
        <v>776</v>
      </c>
      <c r="DF86" t="str">
        <f t="shared" si="16"/>
        <v>Curacao#Fund#Curacao FGR</v>
      </c>
      <c r="DG86" t="b">
        <f t="shared" si="17"/>
        <v>1</v>
      </c>
    </row>
    <row r="87" spans="1:111" ht="78.75" hidden="1" customHeight="1" x14ac:dyDescent="0.35">
      <c r="A87" s="18" t="s">
        <v>707</v>
      </c>
      <c r="B87" s="18"/>
      <c r="C87" s="18" t="s">
        <v>746</v>
      </c>
      <c r="D87" s="19" t="s">
        <v>777</v>
      </c>
      <c r="E87" s="18" t="s">
        <v>90</v>
      </c>
      <c r="F87" s="20" t="s">
        <v>778</v>
      </c>
      <c r="G87" s="20" t="s">
        <v>779</v>
      </c>
      <c r="H87" s="20" t="s">
        <v>93</v>
      </c>
      <c r="I87" s="20" t="s">
        <v>780</v>
      </c>
      <c r="J87" s="20" t="s">
        <v>713</v>
      </c>
      <c r="K87" s="20" t="s">
        <v>96</v>
      </c>
      <c r="L87" s="20" t="s">
        <v>97</v>
      </c>
      <c r="M87" s="20" t="s">
        <v>98</v>
      </c>
      <c r="N87" s="20" t="s">
        <v>781</v>
      </c>
      <c r="O87" s="20" t="s">
        <v>782</v>
      </c>
      <c r="P87" s="20" t="s">
        <v>783</v>
      </c>
      <c r="Q87" s="20" t="s">
        <v>784</v>
      </c>
      <c r="R87" s="20" t="s">
        <v>785</v>
      </c>
      <c r="S87" s="20" t="s">
        <v>786</v>
      </c>
      <c r="T87" s="20" t="s">
        <v>787</v>
      </c>
      <c r="U87" s="20" t="s">
        <v>788</v>
      </c>
      <c r="V87" s="21" t="s">
        <v>746</v>
      </c>
      <c r="W87" s="21" t="s">
        <v>203</v>
      </c>
      <c r="X87" s="21" t="s">
        <v>789</v>
      </c>
      <c r="Y87" s="21" t="s">
        <v>790</v>
      </c>
      <c r="Z87" s="21" t="s">
        <v>791</v>
      </c>
      <c r="AA87" s="21" t="s">
        <v>792</v>
      </c>
      <c r="AB87" s="21" t="s">
        <v>793</v>
      </c>
      <c r="AC87" s="21" t="s">
        <v>794</v>
      </c>
      <c r="AD87" s="22">
        <v>3020</v>
      </c>
      <c r="AE87" s="23" t="s">
        <v>115</v>
      </c>
      <c r="AF87" s="24"/>
      <c r="AG87" s="23" t="s">
        <v>117</v>
      </c>
      <c r="AH87" s="24"/>
      <c r="AI87" s="25" t="s">
        <v>117</v>
      </c>
      <c r="AJ87" s="24"/>
      <c r="AK87" s="25" t="s">
        <v>117</v>
      </c>
      <c r="AL87" s="22"/>
      <c r="AM87" s="23" t="s">
        <v>117</v>
      </c>
      <c r="AN87" s="24"/>
      <c r="AO87" s="25" t="s">
        <v>117</v>
      </c>
      <c r="AP87" s="26">
        <v>2650</v>
      </c>
      <c r="AQ87" s="23" t="s">
        <v>116</v>
      </c>
      <c r="AR87" s="24"/>
      <c r="AS87" s="23" t="s">
        <v>117</v>
      </c>
      <c r="AT87" s="27"/>
      <c r="AU87" s="23" t="s">
        <v>117</v>
      </c>
      <c r="AV87" s="22"/>
      <c r="AW87" s="23" t="s">
        <v>117</v>
      </c>
      <c r="AX87" s="22"/>
      <c r="AY87" s="23" t="s">
        <v>117</v>
      </c>
      <c r="AZ87" s="26">
        <v>75</v>
      </c>
      <c r="BA87" s="23" t="s">
        <v>116</v>
      </c>
      <c r="BB87" s="24">
        <v>100</v>
      </c>
      <c r="BC87" s="23" t="s">
        <v>116</v>
      </c>
      <c r="BD87" s="27">
        <v>750</v>
      </c>
      <c r="BE87" s="23" t="s">
        <v>116</v>
      </c>
      <c r="BF87" s="27"/>
      <c r="BG87" s="23" t="s">
        <v>117</v>
      </c>
      <c r="BH87" s="28"/>
      <c r="BI87" s="25" t="s">
        <v>117</v>
      </c>
      <c r="BJ87" s="28"/>
      <c r="BK87" s="25" t="s">
        <v>117</v>
      </c>
      <c r="BL87" s="28"/>
      <c r="BM87" s="25" t="s">
        <v>117</v>
      </c>
      <c r="BN87" s="28"/>
      <c r="BO87" s="25" t="s">
        <v>117</v>
      </c>
      <c r="BP87" s="28"/>
      <c r="BQ87" s="25" t="s">
        <v>117</v>
      </c>
      <c r="BR87" s="28"/>
      <c r="BS87" s="25" t="s">
        <v>117</v>
      </c>
      <c r="BT87" s="28"/>
      <c r="BU87" s="25" t="s">
        <v>117</v>
      </c>
      <c r="BV87" s="28"/>
      <c r="BW87" s="25" t="s">
        <v>117</v>
      </c>
      <c r="BX87" s="28"/>
      <c r="BY87" s="25" t="s">
        <v>117</v>
      </c>
      <c r="BZ87" s="28"/>
      <c r="CA87" s="25" t="s">
        <v>117</v>
      </c>
      <c r="CB87" s="28"/>
      <c r="CC87" s="25" t="s">
        <v>117</v>
      </c>
      <c r="CD87" s="28"/>
      <c r="CE87" s="25" t="s">
        <v>117</v>
      </c>
      <c r="CF87" s="28"/>
      <c r="CG87" s="25" t="s">
        <v>117</v>
      </c>
      <c r="CH87" s="28"/>
      <c r="CI87" s="25"/>
      <c r="CJ87" s="28"/>
      <c r="CK87" s="29" t="s">
        <v>117</v>
      </c>
      <c r="CL87" s="28"/>
      <c r="CM87" s="29" t="s">
        <v>117</v>
      </c>
      <c r="CN87" s="28"/>
      <c r="CO87" s="25" t="s">
        <v>117</v>
      </c>
      <c r="CP87" s="30"/>
      <c r="CQ87" s="23" t="s">
        <v>117</v>
      </c>
      <c r="CR87" s="30"/>
      <c r="CS87" s="23" t="s">
        <v>117</v>
      </c>
      <c r="CT87" s="30"/>
      <c r="CU87" s="23" t="s">
        <v>117</v>
      </c>
      <c r="CV87" s="31"/>
      <c r="CW87" s="23" t="s">
        <v>117</v>
      </c>
      <c r="CX87" s="32"/>
      <c r="CY87" s="25" t="s">
        <v>117</v>
      </c>
      <c r="CZ87" s="32"/>
      <c r="DA87" s="25" t="s">
        <v>117</v>
      </c>
      <c r="DB87" s="33"/>
      <c r="DC87" s="25" t="s">
        <v>117</v>
      </c>
      <c r="DD87" s="34">
        <f t="shared" si="15"/>
        <v>438</v>
      </c>
      <c r="DE87" t="s">
        <v>795</v>
      </c>
      <c r="DF87" t="str">
        <f t="shared" si="16"/>
        <v>Curacao#Foundation#Curacao Foundation (Stichting)</v>
      </c>
      <c r="DG87" t="b">
        <f t="shared" si="17"/>
        <v>1</v>
      </c>
    </row>
    <row r="88" spans="1:111" ht="78.75" hidden="1" customHeight="1" x14ac:dyDescent="0.35">
      <c r="A88" s="18" t="s">
        <v>707</v>
      </c>
      <c r="B88" s="18"/>
      <c r="C88" s="18" t="s">
        <v>746</v>
      </c>
      <c r="D88" s="19" t="s">
        <v>796</v>
      </c>
      <c r="E88" s="18" t="s">
        <v>90</v>
      </c>
      <c r="F88" s="20" t="s">
        <v>797</v>
      </c>
      <c r="G88" s="20" t="s">
        <v>798</v>
      </c>
      <c r="H88" s="20" t="s">
        <v>93</v>
      </c>
      <c r="I88" s="20" t="s">
        <v>799</v>
      </c>
      <c r="J88" s="20" t="s">
        <v>713</v>
      </c>
      <c r="K88" s="20" t="s">
        <v>96</v>
      </c>
      <c r="L88" s="20" t="s">
        <v>97</v>
      </c>
      <c r="M88" s="20" t="s">
        <v>98</v>
      </c>
      <c r="N88" s="20" t="s">
        <v>800</v>
      </c>
      <c r="O88" s="20" t="s">
        <v>801</v>
      </c>
      <c r="P88" s="20" t="s">
        <v>802</v>
      </c>
      <c r="Q88" s="20" t="s">
        <v>803</v>
      </c>
      <c r="R88" s="20" t="s">
        <v>804</v>
      </c>
      <c r="S88" s="20" t="s">
        <v>805</v>
      </c>
      <c r="T88" s="20" t="s">
        <v>806</v>
      </c>
      <c r="U88" s="20" t="s">
        <v>807</v>
      </c>
      <c r="V88" s="21" t="s">
        <v>808</v>
      </c>
      <c r="W88" s="21" t="s">
        <v>203</v>
      </c>
      <c r="X88" s="21" t="s">
        <v>809</v>
      </c>
      <c r="Y88" s="21" t="s">
        <v>790</v>
      </c>
      <c r="Z88" s="21" t="s">
        <v>791</v>
      </c>
      <c r="AA88" s="21" t="s">
        <v>792</v>
      </c>
      <c r="AB88" s="21" t="s">
        <v>810</v>
      </c>
      <c r="AC88" s="21" t="s">
        <v>811</v>
      </c>
      <c r="AD88" s="22">
        <v>3020</v>
      </c>
      <c r="AE88" s="23" t="s">
        <v>115</v>
      </c>
      <c r="AF88" s="24"/>
      <c r="AG88" s="23" t="s">
        <v>117</v>
      </c>
      <c r="AH88" s="24"/>
      <c r="AI88" s="25" t="s">
        <v>117</v>
      </c>
      <c r="AJ88" s="24"/>
      <c r="AK88" s="25" t="s">
        <v>117</v>
      </c>
      <c r="AL88" s="22"/>
      <c r="AM88" s="23" t="s">
        <v>117</v>
      </c>
      <c r="AN88" s="24"/>
      <c r="AO88" s="25" t="s">
        <v>117</v>
      </c>
      <c r="AP88" s="26">
        <v>2650</v>
      </c>
      <c r="AQ88" s="23" t="s">
        <v>116</v>
      </c>
      <c r="AR88" s="24"/>
      <c r="AS88" s="23" t="s">
        <v>117</v>
      </c>
      <c r="AT88" s="27"/>
      <c r="AU88" s="23" t="s">
        <v>117</v>
      </c>
      <c r="AV88" s="22"/>
      <c r="AW88" s="23" t="s">
        <v>117</v>
      </c>
      <c r="AX88" s="22"/>
      <c r="AY88" s="23" t="s">
        <v>117</v>
      </c>
      <c r="AZ88" s="26">
        <v>75</v>
      </c>
      <c r="BA88" s="23" t="s">
        <v>116</v>
      </c>
      <c r="BB88" s="24">
        <v>100</v>
      </c>
      <c r="BC88" s="23" t="s">
        <v>116</v>
      </c>
      <c r="BD88" s="27">
        <v>750</v>
      </c>
      <c r="BE88" s="23" t="s">
        <v>116</v>
      </c>
      <c r="BF88" s="27"/>
      <c r="BG88" s="23" t="s">
        <v>117</v>
      </c>
      <c r="BH88" s="28"/>
      <c r="BI88" s="25" t="s">
        <v>117</v>
      </c>
      <c r="BJ88" s="28"/>
      <c r="BK88" s="25" t="s">
        <v>117</v>
      </c>
      <c r="BL88" s="28"/>
      <c r="BM88" s="25" t="s">
        <v>117</v>
      </c>
      <c r="BN88" s="28"/>
      <c r="BO88" s="25" t="s">
        <v>117</v>
      </c>
      <c r="BP88" s="28"/>
      <c r="BQ88" s="25" t="s">
        <v>117</v>
      </c>
      <c r="BR88" s="28"/>
      <c r="BS88" s="25" t="s">
        <v>117</v>
      </c>
      <c r="BT88" s="28"/>
      <c r="BU88" s="25" t="s">
        <v>117</v>
      </c>
      <c r="BV88" s="28"/>
      <c r="BW88" s="25" t="s">
        <v>117</v>
      </c>
      <c r="BX88" s="28"/>
      <c r="BY88" s="25" t="s">
        <v>117</v>
      </c>
      <c r="BZ88" s="28"/>
      <c r="CA88" s="25" t="s">
        <v>117</v>
      </c>
      <c r="CB88" s="28"/>
      <c r="CC88" s="25" t="s">
        <v>117</v>
      </c>
      <c r="CD88" s="28"/>
      <c r="CE88" s="25" t="s">
        <v>117</v>
      </c>
      <c r="CF88" s="28"/>
      <c r="CG88" s="25" t="s">
        <v>117</v>
      </c>
      <c r="CH88" s="28"/>
      <c r="CI88" s="25"/>
      <c r="CJ88" s="28"/>
      <c r="CK88" s="29" t="s">
        <v>117</v>
      </c>
      <c r="CL88" s="28"/>
      <c r="CM88" s="29" t="s">
        <v>117</v>
      </c>
      <c r="CN88" s="28"/>
      <c r="CO88" s="25" t="s">
        <v>117</v>
      </c>
      <c r="CP88" s="30"/>
      <c r="CQ88" s="23" t="s">
        <v>117</v>
      </c>
      <c r="CR88" s="30"/>
      <c r="CS88" s="23" t="s">
        <v>117</v>
      </c>
      <c r="CT88" s="30"/>
      <c r="CU88" s="23" t="s">
        <v>117</v>
      </c>
      <c r="CV88" s="31"/>
      <c r="CW88" s="23" t="s">
        <v>117</v>
      </c>
      <c r="CX88" s="32"/>
      <c r="CY88" s="25" t="s">
        <v>117</v>
      </c>
      <c r="CZ88" s="32"/>
      <c r="DA88" s="25" t="s">
        <v>117</v>
      </c>
      <c r="DB88" s="33"/>
      <c r="DC88" s="25" t="s">
        <v>117</v>
      </c>
      <c r="DD88" s="34">
        <f t="shared" si="15"/>
        <v>438</v>
      </c>
      <c r="DE88" t="s">
        <v>812</v>
      </c>
      <c r="DF88" t="str">
        <f t="shared" si="16"/>
        <v>Curacao#Foundation#Curacao STAK</v>
      </c>
      <c r="DG88" t="b">
        <f t="shared" si="17"/>
        <v>1</v>
      </c>
    </row>
    <row r="89" spans="1:111" ht="78.75" hidden="1" customHeight="1" x14ac:dyDescent="0.35">
      <c r="A89" s="184" t="s">
        <v>813</v>
      </c>
      <c r="B89" s="184"/>
      <c r="C89" s="184"/>
      <c r="D89" s="184"/>
      <c r="E89" s="184"/>
      <c r="F89" s="184"/>
      <c r="G89" s="184"/>
      <c r="H89" s="184"/>
      <c r="I89" s="184"/>
      <c r="J89" s="184"/>
      <c r="K89" s="184"/>
      <c r="L89" s="184"/>
      <c r="M89" s="184"/>
      <c r="N89" s="184"/>
      <c r="O89" s="184"/>
      <c r="P89" s="184"/>
      <c r="Q89" s="184"/>
      <c r="R89" s="184"/>
      <c r="S89" s="184"/>
      <c r="T89" s="184"/>
      <c r="U89" s="184"/>
      <c r="V89" s="184"/>
      <c r="W89" s="184"/>
      <c r="X89" s="184"/>
      <c r="Y89" s="184"/>
      <c r="Z89" s="184"/>
      <c r="AA89" s="184"/>
      <c r="AB89" s="184"/>
      <c r="AC89" s="184"/>
      <c r="AD89" s="184"/>
      <c r="AE89" s="184"/>
      <c r="AF89" s="184"/>
      <c r="AG89" s="184"/>
      <c r="AH89" s="184"/>
      <c r="AI89" s="184"/>
      <c r="AJ89" s="184"/>
      <c r="AK89" s="184"/>
      <c r="AL89" s="184"/>
      <c r="AM89" s="184"/>
      <c r="AN89" s="184"/>
      <c r="AO89" s="184"/>
      <c r="AP89" s="184"/>
      <c r="AQ89" s="184"/>
      <c r="AR89" s="184"/>
      <c r="AS89" s="184"/>
      <c r="AT89" s="184"/>
      <c r="AU89" s="184"/>
      <c r="AV89" s="184"/>
      <c r="AW89" s="184"/>
      <c r="AX89" s="184"/>
      <c r="AY89" s="184"/>
      <c r="AZ89" s="184"/>
      <c r="BA89" s="184"/>
      <c r="BB89" s="184"/>
      <c r="BC89" s="184"/>
      <c r="BD89" s="184"/>
      <c r="BE89" s="184"/>
      <c r="BF89" s="184"/>
      <c r="BG89" s="184"/>
      <c r="BH89" s="184"/>
      <c r="BI89" s="184"/>
      <c r="BJ89" s="184"/>
      <c r="BK89" s="184"/>
      <c r="BL89" s="184"/>
      <c r="BM89" s="184"/>
      <c r="BN89" s="184"/>
      <c r="BO89" s="184"/>
      <c r="BP89" s="184"/>
      <c r="BQ89" s="184"/>
      <c r="BR89" s="184"/>
      <c r="BS89" s="184"/>
      <c r="BT89" s="184"/>
      <c r="BU89" s="184"/>
      <c r="BV89" s="184"/>
      <c r="BW89" s="184"/>
      <c r="BX89" s="184"/>
      <c r="BY89" s="184"/>
      <c r="BZ89" s="184"/>
      <c r="CA89" s="184"/>
      <c r="CB89" s="184"/>
      <c r="CC89" s="184"/>
      <c r="CD89" s="184"/>
      <c r="CE89" s="184"/>
      <c r="CF89" s="184"/>
      <c r="CG89" s="184"/>
      <c r="CH89" s="184"/>
      <c r="CI89" s="184"/>
      <c r="CJ89" s="184"/>
      <c r="CK89" s="184"/>
      <c r="CL89" s="184"/>
      <c r="CM89" s="184"/>
      <c r="CN89" s="184"/>
      <c r="CO89" s="184"/>
      <c r="CP89" s="184"/>
      <c r="CQ89" s="184"/>
      <c r="CR89" s="184"/>
      <c r="CS89" s="184"/>
      <c r="CT89" s="184"/>
      <c r="CU89" s="184"/>
      <c r="CV89" s="184"/>
      <c r="CW89" s="184"/>
      <c r="CX89" s="184"/>
      <c r="CY89" s="184"/>
      <c r="CZ89" s="184"/>
      <c r="DA89" s="184"/>
      <c r="DB89" s="184"/>
      <c r="DC89" s="184"/>
      <c r="DE89" t="s">
        <v>85</v>
      </c>
      <c r="DF89" s="81" t="str">
        <f>A84&amp;"#"&amp;C84&amp;"#"&amp;D84</f>
        <v xml:space="preserve">Curacao#Fund - compartment#Curacao Fund B.V. Compartment 
</v>
      </c>
    </row>
    <row r="90" spans="1:111" ht="78.75" hidden="1" customHeight="1" x14ac:dyDescent="0.35">
      <c r="A90" s="18" t="s">
        <v>814</v>
      </c>
      <c r="B90" s="18" t="s">
        <v>815</v>
      </c>
      <c r="C90" s="18" t="s">
        <v>88</v>
      </c>
      <c r="D90" s="19" t="s">
        <v>816</v>
      </c>
      <c r="E90" s="18" t="s">
        <v>817</v>
      </c>
      <c r="F90" s="20" t="s">
        <v>818</v>
      </c>
      <c r="G90" s="20" t="s">
        <v>819</v>
      </c>
      <c r="H90" s="20" t="s">
        <v>93</v>
      </c>
      <c r="I90" s="20" t="s">
        <v>94</v>
      </c>
      <c r="J90" s="20" t="s">
        <v>820</v>
      </c>
      <c r="K90" s="20" t="s">
        <v>821</v>
      </c>
      <c r="L90" s="20" t="s">
        <v>822</v>
      </c>
      <c r="M90" s="20" t="s">
        <v>98</v>
      </c>
      <c r="N90" s="20" t="s">
        <v>823</v>
      </c>
      <c r="O90" s="20" t="s">
        <v>824</v>
      </c>
      <c r="P90" s="20" t="s">
        <v>101</v>
      </c>
      <c r="Q90" s="20" t="s">
        <v>825</v>
      </c>
      <c r="R90" s="20" t="s">
        <v>103</v>
      </c>
      <c r="S90" s="20" t="s">
        <v>826</v>
      </c>
      <c r="T90" s="20" t="s">
        <v>105</v>
      </c>
      <c r="U90" s="20" t="s">
        <v>827</v>
      </c>
      <c r="V90" s="21" t="s">
        <v>243</v>
      </c>
      <c r="W90" s="21" t="s">
        <v>108</v>
      </c>
      <c r="X90" s="21" t="s">
        <v>109</v>
      </c>
      <c r="Y90" s="21" t="s">
        <v>828</v>
      </c>
      <c r="Z90" s="21" t="s">
        <v>829</v>
      </c>
      <c r="AA90" s="21" t="s">
        <v>112</v>
      </c>
      <c r="AB90" s="21" t="s">
        <v>830</v>
      </c>
      <c r="AC90" s="21" t="s">
        <v>831</v>
      </c>
      <c r="AD90" s="26">
        <v>2100</v>
      </c>
      <c r="AE90" s="23" t="s">
        <v>115</v>
      </c>
      <c r="AF90" s="22">
        <v>800</v>
      </c>
      <c r="AG90" s="23" t="s">
        <v>115</v>
      </c>
      <c r="AH90" s="22">
        <v>350</v>
      </c>
      <c r="AI90" s="25" t="s">
        <v>116</v>
      </c>
      <c r="AJ90" s="24"/>
      <c r="AK90" s="25" t="s">
        <v>117</v>
      </c>
      <c r="AL90" s="22">
        <v>0</v>
      </c>
      <c r="AM90" s="23" t="s">
        <v>115</v>
      </c>
      <c r="AN90" s="22">
        <v>2500</v>
      </c>
      <c r="AO90" s="25" t="s">
        <v>116</v>
      </c>
      <c r="AP90" s="26">
        <v>1350</v>
      </c>
      <c r="AQ90" s="23" t="s">
        <v>115</v>
      </c>
      <c r="AR90" s="24"/>
      <c r="AS90" s="23" t="s">
        <v>117</v>
      </c>
      <c r="AT90" s="22">
        <v>3600</v>
      </c>
      <c r="AU90" s="23" t="s">
        <v>116</v>
      </c>
      <c r="AV90" s="26">
        <v>400</v>
      </c>
      <c r="AW90" s="23" t="s">
        <v>115</v>
      </c>
      <c r="AX90" s="22">
        <v>550</v>
      </c>
      <c r="AY90" s="23" t="s">
        <v>115</v>
      </c>
      <c r="AZ90" s="22">
        <v>800</v>
      </c>
      <c r="BA90" s="23" t="s">
        <v>115</v>
      </c>
      <c r="BB90" s="24"/>
      <c r="BC90" s="23" t="s">
        <v>115</v>
      </c>
      <c r="BD90" s="37">
        <v>1400</v>
      </c>
      <c r="BE90" s="23" t="s">
        <v>115</v>
      </c>
      <c r="BF90" s="26">
        <v>500</v>
      </c>
      <c r="BG90" s="23" t="s">
        <v>115</v>
      </c>
      <c r="BH90" s="22">
        <v>500</v>
      </c>
      <c r="BI90" s="25" t="s">
        <v>116</v>
      </c>
      <c r="BJ90" s="22">
        <v>1750</v>
      </c>
      <c r="BK90" s="25" t="s">
        <v>116</v>
      </c>
      <c r="BL90" s="22">
        <v>750</v>
      </c>
      <c r="BM90" s="25" t="s">
        <v>116</v>
      </c>
      <c r="BN90" s="24"/>
      <c r="BO90" s="25" t="s">
        <v>117</v>
      </c>
      <c r="BP90" s="22">
        <v>350</v>
      </c>
      <c r="BQ90" s="25" t="s">
        <v>116</v>
      </c>
      <c r="BR90" s="24"/>
      <c r="BS90" s="25" t="s">
        <v>117</v>
      </c>
      <c r="BT90" s="24"/>
      <c r="BU90" s="25" t="s">
        <v>117</v>
      </c>
      <c r="BV90" s="24"/>
      <c r="BW90" s="25" t="s">
        <v>117</v>
      </c>
      <c r="BX90" s="24"/>
      <c r="BY90" s="25" t="s">
        <v>117</v>
      </c>
      <c r="BZ90" s="24"/>
      <c r="CA90" s="25" t="s">
        <v>117</v>
      </c>
      <c r="CB90" s="24"/>
      <c r="CC90" s="25" t="s">
        <v>117</v>
      </c>
      <c r="CD90" s="24"/>
      <c r="CE90" s="25" t="s">
        <v>117</v>
      </c>
      <c r="CF90" s="24"/>
      <c r="CG90" s="25" t="s">
        <v>117</v>
      </c>
      <c r="CH90" s="24"/>
      <c r="CI90" s="25"/>
      <c r="CJ90" s="24"/>
      <c r="CK90" s="29" t="s">
        <v>117</v>
      </c>
      <c r="CL90" s="24"/>
      <c r="CM90" s="29" t="s">
        <v>117</v>
      </c>
      <c r="CN90" s="24"/>
      <c r="CO90" s="25" t="s">
        <v>117</v>
      </c>
      <c r="CP90" s="30">
        <v>400</v>
      </c>
      <c r="CQ90" s="23" t="s">
        <v>115</v>
      </c>
      <c r="CR90" s="32"/>
      <c r="CS90" s="23" t="s">
        <v>117</v>
      </c>
      <c r="CT90" s="32"/>
      <c r="CU90" s="23" t="s">
        <v>117</v>
      </c>
      <c r="CV90" s="32"/>
      <c r="CW90" s="23" t="s">
        <v>117</v>
      </c>
      <c r="CX90" s="32"/>
      <c r="CY90" s="25" t="s">
        <v>117</v>
      </c>
      <c r="CZ90" s="32"/>
      <c r="DA90" s="25" t="s">
        <v>117</v>
      </c>
      <c r="DB90" s="33" t="s">
        <v>832</v>
      </c>
      <c r="DC90" s="25" t="s">
        <v>116</v>
      </c>
      <c r="DD90" s="34">
        <f t="shared" ref="DD90:DD95" si="18">ROUND(0.075*SUM(AD90,AF90,AH90,AJ90,AL90,AN90,AP90,AR90,AT90,AV90,AX90,AZ90,BB90,BR90,BT90,BV90,BX90,BZ90,CB90,CD90,CF90,CJ90,CL90,CN90,CP90,CR90,CT90,CV90,CX90,CZ90),0)</f>
        <v>964</v>
      </c>
      <c r="DE90" t="s">
        <v>833</v>
      </c>
      <c r="DF90" t="str">
        <f t="shared" ref="DF90:DF95" si="19">A90&amp;"#"&amp;C90&amp;"#"&amp;D90</f>
        <v>Cyprus#Company#Cyprus Ltd</v>
      </c>
      <c r="DG90" t="b">
        <f t="shared" ref="DG90:DG95" si="20">DE90=DF90</f>
        <v>1</v>
      </c>
    </row>
    <row r="91" spans="1:111" ht="15" hidden="1" customHeight="1" x14ac:dyDescent="0.35">
      <c r="A91" s="18" t="s">
        <v>814</v>
      </c>
      <c r="B91" s="18" t="s">
        <v>815</v>
      </c>
      <c r="C91" s="18" t="s">
        <v>122</v>
      </c>
      <c r="D91" s="18" t="s">
        <v>834</v>
      </c>
      <c r="E91" s="18" t="s">
        <v>817</v>
      </c>
      <c r="F91" s="20" t="s">
        <v>835</v>
      </c>
      <c r="G91" s="20" t="s">
        <v>836</v>
      </c>
      <c r="H91" s="20" t="s">
        <v>126</v>
      </c>
      <c r="I91" s="20" t="s">
        <v>127</v>
      </c>
      <c r="J91" s="20" t="s">
        <v>837</v>
      </c>
      <c r="K91" s="20" t="s">
        <v>838</v>
      </c>
      <c r="L91" s="20" t="s">
        <v>97</v>
      </c>
      <c r="M91" s="20" t="s">
        <v>98</v>
      </c>
      <c r="N91" s="20" t="s">
        <v>128</v>
      </c>
      <c r="O91" s="20" t="s">
        <v>129</v>
      </c>
      <c r="P91" s="20" t="s">
        <v>130</v>
      </c>
      <c r="Q91" s="20" t="s">
        <v>131</v>
      </c>
      <c r="R91" s="20" t="s">
        <v>132</v>
      </c>
      <c r="S91" s="20" t="s">
        <v>133</v>
      </c>
      <c r="T91" s="20" t="s">
        <v>134</v>
      </c>
      <c r="U91" s="20" t="s">
        <v>839</v>
      </c>
      <c r="V91" s="21" t="s">
        <v>122</v>
      </c>
      <c r="W91" s="21" t="s">
        <v>108</v>
      </c>
      <c r="X91" s="21" t="s">
        <v>136</v>
      </c>
      <c r="Y91" s="21" t="s">
        <v>840</v>
      </c>
      <c r="Z91" s="21" t="s">
        <v>111</v>
      </c>
      <c r="AA91" s="21"/>
      <c r="AB91" s="21" t="s">
        <v>841</v>
      </c>
      <c r="AC91" s="21" t="s">
        <v>842</v>
      </c>
      <c r="AD91" s="22">
        <v>4500</v>
      </c>
      <c r="AE91" s="23" t="s">
        <v>115</v>
      </c>
      <c r="AF91" s="24"/>
      <c r="AG91" s="23" t="s">
        <v>117</v>
      </c>
      <c r="AH91" s="24"/>
      <c r="AI91" s="25" t="s">
        <v>117</v>
      </c>
      <c r="AJ91" s="24"/>
      <c r="AK91" s="25" t="s">
        <v>117</v>
      </c>
      <c r="AL91" s="22">
        <v>0</v>
      </c>
      <c r="AM91" s="23" t="s">
        <v>116</v>
      </c>
      <c r="AN91" s="24"/>
      <c r="AO91" s="25" t="s">
        <v>117</v>
      </c>
      <c r="AP91" s="24"/>
      <c r="AQ91" s="23" t="s">
        <v>117</v>
      </c>
      <c r="AR91" s="22">
        <v>5000</v>
      </c>
      <c r="AS91" s="23" t="s">
        <v>115</v>
      </c>
      <c r="AT91" s="24"/>
      <c r="AU91" s="23" t="s">
        <v>117</v>
      </c>
      <c r="AV91" s="24"/>
      <c r="AW91" s="23" t="s">
        <v>117</v>
      </c>
      <c r="AX91" s="24"/>
      <c r="AY91" s="23" t="s">
        <v>117</v>
      </c>
      <c r="AZ91" s="24"/>
      <c r="BA91" s="23" t="s">
        <v>117</v>
      </c>
      <c r="BB91" s="24"/>
      <c r="BC91" s="23" t="s">
        <v>117</v>
      </c>
      <c r="BD91" s="40"/>
      <c r="BE91" s="23" t="s">
        <v>117</v>
      </c>
      <c r="BF91" s="24"/>
      <c r="BG91" s="23" t="s">
        <v>117</v>
      </c>
      <c r="BH91" s="24"/>
      <c r="BI91" s="25" t="s">
        <v>117</v>
      </c>
      <c r="BJ91" s="24"/>
      <c r="BK91" s="25" t="s">
        <v>117</v>
      </c>
      <c r="BL91" s="22">
        <v>500</v>
      </c>
      <c r="BM91" s="25" t="s">
        <v>116</v>
      </c>
      <c r="BN91" s="24"/>
      <c r="BO91" s="25" t="s">
        <v>117</v>
      </c>
      <c r="BP91" s="24"/>
      <c r="BQ91" s="25" t="s">
        <v>117</v>
      </c>
      <c r="BR91" s="24"/>
      <c r="BS91" s="25" t="s">
        <v>117</v>
      </c>
      <c r="BT91" s="24"/>
      <c r="BU91" s="25" t="s">
        <v>117</v>
      </c>
      <c r="BV91" s="24"/>
      <c r="BW91" s="25" t="s">
        <v>117</v>
      </c>
      <c r="BX91" s="24"/>
      <c r="BY91" s="25" t="s">
        <v>117</v>
      </c>
      <c r="BZ91" s="24"/>
      <c r="CA91" s="25" t="s">
        <v>117</v>
      </c>
      <c r="CB91" s="24"/>
      <c r="CC91" s="25" t="s">
        <v>117</v>
      </c>
      <c r="CD91" s="24"/>
      <c r="CE91" s="25" t="s">
        <v>117</v>
      </c>
      <c r="CF91" s="24"/>
      <c r="CG91" s="25" t="s">
        <v>117</v>
      </c>
      <c r="CH91" s="24"/>
      <c r="CI91" s="25"/>
      <c r="CJ91" s="24"/>
      <c r="CK91" s="29" t="s">
        <v>117</v>
      </c>
      <c r="CL91" s="24"/>
      <c r="CM91" s="29" t="s">
        <v>117</v>
      </c>
      <c r="CN91" s="24"/>
      <c r="CO91" s="25" t="s">
        <v>117</v>
      </c>
      <c r="CP91" s="30">
        <v>400</v>
      </c>
      <c r="CQ91" s="23" t="s">
        <v>115</v>
      </c>
      <c r="CR91" s="32"/>
      <c r="CS91" s="23" t="s">
        <v>117</v>
      </c>
      <c r="CT91" s="32"/>
      <c r="CU91" s="23" t="s">
        <v>117</v>
      </c>
      <c r="CV91" s="32"/>
      <c r="CW91" s="23" t="s">
        <v>117</v>
      </c>
      <c r="CX91" s="32"/>
      <c r="CY91" s="25" t="s">
        <v>117</v>
      </c>
      <c r="CZ91" s="30">
        <v>5000</v>
      </c>
      <c r="DA91" s="25" t="s">
        <v>116</v>
      </c>
      <c r="DB91" s="82"/>
      <c r="DC91" s="25" t="s">
        <v>117</v>
      </c>
      <c r="DD91" s="34">
        <f t="shared" si="18"/>
        <v>1118</v>
      </c>
      <c r="DE91" t="s">
        <v>843</v>
      </c>
      <c r="DF91" t="str">
        <f t="shared" si="19"/>
        <v>Cyprus#Trust#Cyprus Trust</v>
      </c>
      <c r="DG91" t="b">
        <f t="shared" si="20"/>
        <v>1</v>
      </c>
    </row>
    <row r="92" spans="1:111" ht="78.75" customHeight="1" x14ac:dyDescent="0.35">
      <c r="A92" s="35" t="s">
        <v>814</v>
      </c>
      <c r="B92" s="18" t="s">
        <v>815</v>
      </c>
      <c r="C92" s="35" t="s">
        <v>141</v>
      </c>
      <c r="D92" s="36" t="s">
        <v>844</v>
      </c>
      <c r="E92" s="35" t="s">
        <v>817</v>
      </c>
      <c r="F92" s="20" t="s">
        <v>845</v>
      </c>
      <c r="G92" s="20" t="s">
        <v>846</v>
      </c>
      <c r="H92" s="20" t="s">
        <v>145</v>
      </c>
      <c r="I92" s="20" t="s">
        <v>146</v>
      </c>
      <c r="J92" s="20" t="s">
        <v>837</v>
      </c>
      <c r="K92" s="20" t="s">
        <v>96</v>
      </c>
      <c r="L92" s="20" t="s">
        <v>847</v>
      </c>
      <c r="M92" s="20" t="s">
        <v>98</v>
      </c>
      <c r="N92" s="20" t="s">
        <v>147</v>
      </c>
      <c r="O92" s="20" t="s">
        <v>848</v>
      </c>
      <c r="P92" s="20" t="s">
        <v>149</v>
      </c>
      <c r="Q92" s="20" t="s">
        <v>150</v>
      </c>
      <c r="R92" s="20" t="s">
        <v>151</v>
      </c>
      <c r="S92" s="20" t="s">
        <v>152</v>
      </c>
      <c r="T92" s="20" t="s">
        <v>153</v>
      </c>
      <c r="U92" s="20" t="s">
        <v>154</v>
      </c>
      <c r="V92" s="21" t="s">
        <v>267</v>
      </c>
      <c r="W92" s="21" t="s">
        <v>108</v>
      </c>
      <c r="X92" s="21" t="s">
        <v>109</v>
      </c>
      <c r="Y92" s="21" t="s">
        <v>849</v>
      </c>
      <c r="Z92" s="21" t="s">
        <v>256</v>
      </c>
      <c r="AA92" s="21" t="s">
        <v>112</v>
      </c>
      <c r="AB92" s="21" t="s">
        <v>850</v>
      </c>
      <c r="AC92" s="21" t="s">
        <v>851</v>
      </c>
      <c r="AD92" s="38"/>
      <c r="AE92" s="23" t="s">
        <v>115</v>
      </c>
      <c r="AF92" s="38"/>
      <c r="AG92" s="23" t="s">
        <v>116</v>
      </c>
      <c r="AH92" s="38"/>
      <c r="AI92" s="25" t="s">
        <v>117</v>
      </c>
      <c r="AJ92" s="38"/>
      <c r="AK92" s="25" t="s">
        <v>117</v>
      </c>
      <c r="AL92" s="22">
        <v>0</v>
      </c>
      <c r="AM92" s="23" t="s">
        <v>115</v>
      </c>
      <c r="AN92" s="38"/>
      <c r="AO92" s="25" t="s">
        <v>117</v>
      </c>
      <c r="AP92" s="37">
        <v>1400</v>
      </c>
      <c r="AQ92" s="23" t="s">
        <v>115</v>
      </c>
      <c r="AR92" s="40"/>
      <c r="AS92" s="23" t="s">
        <v>117</v>
      </c>
      <c r="AT92" s="37">
        <v>3600</v>
      </c>
      <c r="AU92" s="23" t="s">
        <v>116</v>
      </c>
      <c r="AV92" s="37">
        <v>425</v>
      </c>
      <c r="AW92" s="23" t="s">
        <v>115</v>
      </c>
      <c r="AX92" s="37">
        <v>550</v>
      </c>
      <c r="AY92" s="23" t="s">
        <v>115</v>
      </c>
      <c r="AZ92" s="39" t="s">
        <v>118</v>
      </c>
      <c r="BA92" s="23" t="s">
        <v>115</v>
      </c>
      <c r="BB92" s="40"/>
      <c r="BC92" s="23" t="s">
        <v>115</v>
      </c>
      <c r="BD92" s="37">
        <v>2000</v>
      </c>
      <c r="BE92" s="23" t="s">
        <v>115</v>
      </c>
      <c r="BF92" s="37">
        <v>500</v>
      </c>
      <c r="BG92" s="23" t="s">
        <v>115</v>
      </c>
      <c r="BH92" s="40"/>
      <c r="BI92" s="25" t="s">
        <v>117</v>
      </c>
      <c r="BJ92" s="40"/>
      <c r="BK92" s="25" t="s">
        <v>117</v>
      </c>
      <c r="BL92" s="40"/>
      <c r="BM92" s="25" t="s">
        <v>117</v>
      </c>
      <c r="BN92" s="40"/>
      <c r="BO92" s="25" t="s">
        <v>117</v>
      </c>
      <c r="BP92" s="40"/>
      <c r="BQ92" s="25" t="s">
        <v>117</v>
      </c>
      <c r="BR92" s="37">
        <v>15000</v>
      </c>
      <c r="BS92" s="25" t="s">
        <v>115</v>
      </c>
      <c r="BT92" s="40"/>
      <c r="BU92" s="25" t="s">
        <v>117</v>
      </c>
      <c r="BV92" s="40"/>
      <c r="BW92" s="25" t="s">
        <v>117</v>
      </c>
      <c r="BX92" s="40"/>
      <c r="BY92" s="25" t="s">
        <v>117</v>
      </c>
      <c r="BZ92" s="46"/>
      <c r="CA92" s="25" t="s">
        <v>117</v>
      </c>
      <c r="CB92" s="45" t="s">
        <v>159</v>
      </c>
      <c r="CC92" s="25" t="s">
        <v>116</v>
      </c>
      <c r="CD92" s="40"/>
      <c r="CE92" s="25" t="s">
        <v>117</v>
      </c>
      <c r="CF92" s="40"/>
      <c r="CG92" s="25" t="s">
        <v>117</v>
      </c>
      <c r="CH92" s="151">
        <v>5000</v>
      </c>
      <c r="CI92" s="25" t="s">
        <v>116</v>
      </c>
      <c r="CJ92" s="151">
        <v>2500</v>
      </c>
      <c r="CK92" s="48" t="s">
        <v>116</v>
      </c>
      <c r="CL92" s="46">
        <v>1500</v>
      </c>
      <c r="CM92" s="48" t="s">
        <v>116</v>
      </c>
      <c r="CN92" s="46">
        <v>1500</v>
      </c>
      <c r="CO92" s="25" t="s">
        <v>116</v>
      </c>
      <c r="CP92" s="30">
        <v>400</v>
      </c>
      <c r="CQ92" s="23" t="s">
        <v>115</v>
      </c>
      <c r="CR92" s="32"/>
      <c r="CS92" s="23" t="s">
        <v>117</v>
      </c>
      <c r="CT92" s="32"/>
      <c r="CU92" s="23" t="s">
        <v>117</v>
      </c>
      <c r="CV92" s="32"/>
      <c r="CW92" s="23" t="s">
        <v>117</v>
      </c>
      <c r="CX92" s="32"/>
      <c r="CY92" s="25" t="s">
        <v>117</v>
      </c>
      <c r="CZ92" s="32"/>
      <c r="DA92" s="25" t="s">
        <v>117</v>
      </c>
      <c r="DB92" s="33" t="s">
        <v>832</v>
      </c>
      <c r="DC92" s="25" t="s">
        <v>116</v>
      </c>
      <c r="DD92" s="34">
        <f t="shared" si="18"/>
        <v>2016</v>
      </c>
      <c r="DE92" t="s">
        <v>852</v>
      </c>
      <c r="DF92" t="str">
        <f t="shared" si="19"/>
        <v>Cyprus#Fund#Cyprus VCIC</v>
      </c>
      <c r="DG92" t="b">
        <f t="shared" si="20"/>
        <v>1</v>
      </c>
    </row>
    <row r="93" spans="1:111" ht="78.75" customHeight="1" x14ac:dyDescent="0.35">
      <c r="A93" s="42" t="s">
        <v>814</v>
      </c>
      <c r="B93" s="18" t="s">
        <v>815</v>
      </c>
      <c r="C93" s="42" t="s">
        <v>141</v>
      </c>
      <c r="D93" s="43" t="s">
        <v>853</v>
      </c>
      <c r="E93" s="42" t="s">
        <v>817</v>
      </c>
      <c r="F93" s="20" t="s">
        <v>854</v>
      </c>
      <c r="G93" s="20" t="s">
        <v>855</v>
      </c>
      <c r="H93" s="20" t="s">
        <v>145</v>
      </c>
      <c r="I93" s="20" t="s">
        <v>146</v>
      </c>
      <c r="J93" s="20" t="s">
        <v>837</v>
      </c>
      <c r="K93" s="20" t="s">
        <v>96</v>
      </c>
      <c r="L93" s="20" t="s">
        <v>847</v>
      </c>
      <c r="M93" s="20" t="s">
        <v>98</v>
      </c>
      <c r="N93" s="20" t="s">
        <v>147</v>
      </c>
      <c r="O93" s="20" t="s">
        <v>848</v>
      </c>
      <c r="P93" s="20" t="s">
        <v>149</v>
      </c>
      <c r="Q93" s="20" t="s">
        <v>150</v>
      </c>
      <c r="R93" s="20" t="s">
        <v>151</v>
      </c>
      <c r="S93" s="20" t="s">
        <v>152</v>
      </c>
      <c r="T93" s="20" t="s">
        <v>153</v>
      </c>
      <c r="U93" s="20" t="s">
        <v>154</v>
      </c>
      <c r="V93" s="21" t="s">
        <v>267</v>
      </c>
      <c r="W93" s="21" t="s">
        <v>108</v>
      </c>
      <c r="X93" s="21" t="s">
        <v>109</v>
      </c>
      <c r="Y93" s="21" t="s">
        <v>849</v>
      </c>
      <c r="Z93" s="21" t="s">
        <v>256</v>
      </c>
      <c r="AA93" s="21" t="s">
        <v>112</v>
      </c>
      <c r="AB93" s="21" t="s">
        <v>856</v>
      </c>
      <c r="AC93" s="21" t="s">
        <v>857</v>
      </c>
      <c r="AD93" s="42"/>
      <c r="AE93" s="23" t="s">
        <v>115</v>
      </c>
      <c r="AF93" s="42"/>
      <c r="AG93" s="23" t="s">
        <v>116</v>
      </c>
      <c r="AH93" s="42"/>
      <c r="AI93" s="25" t="s">
        <v>117</v>
      </c>
      <c r="AJ93" s="42"/>
      <c r="AK93" s="25" t="s">
        <v>117</v>
      </c>
      <c r="AL93" s="22">
        <v>0</v>
      </c>
      <c r="AM93" s="23" t="s">
        <v>115</v>
      </c>
      <c r="AN93" s="42"/>
      <c r="AO93" s="25" t="s">
        <v>117</v>
      </c>
      <c r="AP93" s="47">
        <v>1400</v>
      </c>
      <c r="AQ93" s="23" t="s">
        <v>115</v>
      </c>
      <c r="AR93" s="42"/>
      <c r="AS93" s="23" t="s">
        <v>117</v>
      </c>
      <c r="AT93" s="47">
        <v>3600</v>
      </c>
      <c r="AU93" s="23" t="s">
        <v>116</v>
      </c>
      <c r="AV93" s="47">
        <v>425</v>
      </c>
      <c r="AW93" s="23" t="s">
        <v>115</v>
      </c>
      <c r="AX93" s="47">
        <v>550</v>
      </c>
      <c r="AY93" s="23" t="s">
        <v>115</v>
      </c>
      <c r="AZ93" s="45" t="s">
        <v>118</v>
      </c>
      <c r="BA93" s="23" t="s">
        <v>115</v>
      </c>
      <c r="BB93" s="42"/>
      <c r="BC93" s="23" t="s">
        <v>115</v>
      </c>
      <c r="BD93" s="47">
        <v>2000</v>
      </c>
      <c r="BE93" s="23" t="s">
        <v>115</v>
      </c>
      <c r="BF93" s="47">
        <v>500</v>
      </c>
      <c r="BG93" s="23" t="s">
        <v>115</v>
      </c>
      <c r="BH93" s="42"/>
      <c r="BI93" s="25" t="s">
        <v>117</v>
      </c>
      <c r="BJ93" s="42"/>
      <c r="BK93" s="25" t="s">
        <v>117</v>
      </c>
      <c r="BL93" s="42"/>
      <c r="BM93" s="25" t="s">
        <v>117</v>
      </c>
      <c r="BN93" s="42"/>
      <c r="BO93" s="25" t="s">
        <v>117</v>
      </c>
      <c r="BP93" s="42"/>
      <c r="BQ93" s="25" t="s">
        <v>117</v>
      </c>
      <c r="BR93" s="47">
        <v>15000</v>
      </c>
      <c r="BS93" s="25" t="s">
        <v>115</v>
      </c>
      <c r="BT93" s="42"/>
      <c r="BU93" s="25" t="s">
        <v>117</v>
      </c>
      <c r="BV93" s="42"/>
      <c r="BW93" s="25" t="s">
        <v>117</v>
      </c>
      <c r="BX93" s="42"/>
      <c r="BY93" s="25" t="s">
        <v>117</v>
      </c>
      <c r="BZ93" s="46"/>
      <c r="CA93" s="25" t="s">
        <v>117</v>
      </c>
      <c r="CB93" s="45" t="s">
        <v>159</v>
      </c>
      <c r="CC93" s="25" t="s">
        <v>116</v>
      </c>
      <c r="CD93" s="42"/>
      <c r="CE93" s="25" t="s">
        <v>117</v>
      </c>
      <c r="CF93" s="42"/>
      <c r="CG93" s="25" t="s">
        <v>117</v>
      </c>
      <c r="CH93" s="151">
        <v>5000</v>
      </c>
      <c r="CI93" s="25" t="s">
        <v>116</v>
      </c>
      <c r="CJ93" s="151">
        <v>2500</v>
      </c>
      <c r="CK93" s="48" t="s">
        <v>116</v>
      </c>
      <c r="CL93" s="46">
        <v>1500</v>
      </c>
      <c r="CM93" s="48" t="s">
        <v>116</v>
      </c>
      <c r="CN93" s="46">
        <v>1500</v>
      </c>
      <c r="CO93" s="25" t="s">
        <v>116</v>
      </c>
      <c r="CP93" s="30">
        <v>400</v>
      </c>
      <c r="CQ93" s="23" t="s">
        <v>115</v>
      </c>
      <c r="CR93" s="32"/>
      <c r="CS93" s="23" t="s">
        <v>117</v>
      </c>
      <c r="CT93" s="32"/>
      <c r="CU93" s="23" t="s">
        <v>117</v>
      </c>
      <c r="CV93" s="32"/>
      <c r="CW93" s="23" t="s">
        <v>117</v>
      </c>
      <c r="CX93" s="32"/>
      <c r="CY93" s="25" t="s">
        <v>117</v>
      </c>
      <c r="CZ93" s="32"/>
      <c r="DA93" s="25" t="s">
        <v>117</v>
      </c>
      <c r="DB93" s="33" t="s">
        <v>832</v>
      </c>
      <c r="DC93" s="25" t="s">
        <v>116</v>
      </c>
      <c r="DD93" s="34">
        <f t="shared" si="18"/>
        <v>2016</v>
      </c>
      <c r="DE93" t="s">
        <v>858</v>
      </c>
      <c r="DF93" t="str">
        <f t="shared" si="19"/>
        <v>Cyprus#Fund#Cyprus FCIC</v>
      </c>
      <c r="DG93" t="b">
        <f t="shared" si="20"/>
        <v>1</v>
      </c>
    </row>
    <row r="94" spans="1:111" ht="78.75" customHeight="1" x14ac:dyDescent="0.35">
      <c r="A94" s="35" t="s">
        <v>814</v>
      </c>
      <c r="B94" s="18" t="s">
        <v>815</v>
      </c>
      <c r="C94" s="35" t="s">
        <v>141</v>
      </c>
      <c r="D94" s="36" t="s">
        <v>859</v>
      </c>
      <c r="E94" s="35" t="s">
        <v>817</v>
      </c>
      <c r="F94" s="20" t="s">
        <v>355</v>
      </c>
      <c r="G94" s="20" t="s">
        <v>860</v>
      </c>
      <c r="H94" s="20" t="s">
        <v>145</v>
      </c>
      <c r="I94" s="20" t="s">
        <v>146</v>
      </c>
      <c r="J94" s="20" t="s">
        <v>837</v>
      </c>
      <c r="K94" s="20" t="s">
        <v>96</v>
      </c>
      <c r="L94" s="20" t="s">
        <v>847</v>
      </c>
      <c r="M94" s="20" t="s">
        <v>98</v>
      </c>
      <c r="N94" s="20" t="s">
        <v>147</v>
      </c>
      <c r="O94" s="20" t="s">
        <v>148</v>
      </c>
      <c r="P94" s="20" t="s">
        <v>149</v>
      </c>
      <c r="Q94" s="20" t="s">
        <v>150</v>
      </c>
      <c r="R94" s="20" t="s">
        <v>151</v>
      </c>
      <c r="S94" s="20" t="s">
        <v>152</v>
      </c>
      <c r="T94" s="20" t="s">
        <v>861</v>
      </c>
      <c r="U94" s="20" t="s">
        <v>154</v>
      </c>
      <c r="V94" s="21" t="s">
        <v>267</v>
      </c>
      <c r="W94" s="21" t="s">
        <v>108</v>
      </c>
      <c r="X94" s="21" t="s">
        <v>164</v>
      </c>
      <c r="Y94" s="21" t="s">
        <v>862</v>
      </c>
      <c r="Z94" s="21" t="s">
        <v>256</v>
      </c>
      <c r="AA94" s="21" t="s">
        <v>166</v>
      </c>
      <c r="AB94" s="21" t="s">
        <v>863</v>
      </c>
      <c r="AC94" s="21" t="s">
        <v>864</v>
      </c>
      <c r="AD94" s="35"/>
      <c r="AE94" s="23" t="s">
        <v>115</v>
      </c>
      <c r="AF94" s="35"/>
      <c r="AG94" s="23" t="s">
        <v>116</v>
      </c>
      <c r="AH94" s="35"/>
      <c r="AI94" s="25" t="s">
        <v>117</v>
      </c>
      <c r="AJ94" s="35"/>
      <c r="AK94" s="25" t="s">
        <v>117</v>
      </c>
      <c r="AL94" s="22">
        <v>0</v>
      </c>
      <c r="AM94" s="23" t="s">
        <v>115</v>
      </c>
      <c r="AN94" s="35"/>
      <c r="AO94" s="25" t="s">
        <v>117</v>
      </c>
      <c r="AP94" s="39" t="s">
        <v>118</v>
      </c>
      <c r="AQ94" s="23" t="s">
        <v>115</v>
      </c>
      <c r="AR94" s="40"/>
      <c r="AS94" s="23" t="s">
        <v>117</v>
      </c>
      <c r="AT94" s="39" t="s">
        <v>118</v>
      </c>
      <c r="AU94" s="23" t="s">
        <v>116</v>
      </c>
      <c r="AV94" s="37">
        <v>425</v>
      </c>
      <c r="AW94" s="23" t="s">
        <v>115</v>
      </c>
      <c r="AX94" s="37">
        <v>550</v>
      </c>
      <c r="AY94" s="23" t="s">
        <v>115</v>
      </c>
      <c r="AZ94" s="39" t="s">
        <v>118</v>
      </c>
      <c r="BA94" s="23" t="s">
        <v>115</v>
      </c>
      <c r="BB94" s="40"/>
      <c r="BC94" s="23" t="s">
        <v>115</v>
      </c>
      <c r="BD94" s="37">
        <v>2000</v>
      </c>
      <c r="BE94" s="23" t="s">
        <v>115</v>
      </c>
      <c r="BF94" s="39" t="s">
        <v>118</v>
      </c>
      <c r="BG94" s="23" t="s">
        <v>115</v>
      </c>
      <c r="BH94" s="40"/>
      <c r="BI94" s="25" t="s">
        <v>117</v>
      </c>
      <c r="BJ94" s="40"/>
      <c r="BK94" s="25" t="s">
        <v>117</v>
      </c>
      <c r="BL94" s="40"/>
      <c r="BM94" s="25" t="s">
        <v>117</v>
      </c>
      <c r="BN94" s="40"/>
      <c r="BO94" s="25" t="s">
        <v>117</v>
      </c>
      <c r="BP94" s="40"/>
      <c r="BQ94" s="25" t="s">
        <v>117</v>
      </c>
      <c r="BR94" s="37">
        <v>15000</v>
      </c>
      <c r="BS94" s="25" t="s">
        <v>115</v>
      </c>
      <c r="BT94" s="40"/>
      <c r="BU94" s="25" t="s">
        <v>117</v>
      </c>
      <c r="BV94" s="40"/>
      <c r="BW94" s="25" t="s">
        <v>117</v>
      </c>
      <c r="BX94" s="40"/>
      <c r="BY94" s="25" t="s">
        <v>117</v>
      </c>
      <c r="BZ94" s="46"/>
      <c r="CA94" s="25" t="s">
        <v>117</v>
      </c>
      <c r="CB94" s="45" t="s">
        <v>159</v>
      </c>
      <c r="CC94" s="25" t="s">
        <v>116</v>
      </c>
      <c r="CD94" s="40"/>
      <c r="CE94" s="25" t="s">
        <v>117</v>
      </c>
      <c r="CF94" s="40"/>
      <c r="CG94" s="25" t="s">
        <v>117</v>
      </c>
      <c r="CH94" s="151">
        <v>5000</v>
      </c>
      <c r="CI94" s="25" t="s">
        <v>116</v>
      </c>
      <c r="CJ94" s="151">
        <v>2500</v>
      </c>
      <c r="CK94" s="48" t="s">
        <v>116</v>
      </c>
      <c r="CL94" s="46">
        <v>1500</v>
      </c>
      <c r="CM94" s="48" t="s">
        <v>116</v>
      </c>
      <c r="CN94" s="46">
        <v>1500</v>
      </c>
      <c r="CO94" s="25" t="s">
        <v>116</v>
      </c>
      <c r="CP94" s="30">
        <v>400</v>
      </c>
      <c r="CQ94" s="23" t="s">
        <v>115</v>
      </c>
      <c r="CR94" s="32"/>
      <c r="CS94" s="23" t="s">
        <v>117</v>
      </c>
      <c r="CT94" s="32"/>
      <c r="CU94" s="23" t="s">
        <v>117</v>
      </c>
      <c r="CV94" s="32"/>
      <c r="CW94" s="23" t="s">
        <v>117</v>
      </c>
      <c r="CX94" s="32"/>
      <c r="CY94" s="25" t="s">
        <v>117</v>
      </c>
      <c r="CZ94" s="32"/>
      <c r="DA94" s="25" t="s">
        <v>117</v>
      </c>
      <c r="DB94" s="33" t="s">
        <v>832</v>
      </c>
      <c r="DC94" s="25" t="s">
        <v>116</v>
      </c>
      <c r="DD94" s="34">
        <f t="shared" si="18"/>
        <v>1641</v>
      </c>
      <c r="DE94" t="s">
        <v>865</v>
      </c>
      <c r="DF94" t="str">
        <f t="shared" si="19"/>
        <v>Cyprus#Fund#Cyprus LP</v>
      </c>
      <c r="DG94" t="b">
        <f t="shared" si="20"/>
        <v>1</v>
      </c>
    </row>
    <row r="95" spans="1:111" ht="78.75" customHeight="1" x14ac:dyDescent="0.35">
      <c r="A95" s="42" t="s">
        <v>814</v>
      </c>
      <c r="B95" s="18" t="s">
        <v>815</v>
      </c>
      <c r="C95" s="42" t="s">
        <v>141</v>
      </c>
      <c r="D95" s="43" t="s">
        <v>866</v>
      </c>
      <c r="E95" s="42" t="s">
        <v>817</v>
      </c>
      <c r="F95" s="20" t="s">
        <v>867</v>
      </c>
      <c r="G95" s="20" t="s">
        <v>868</v>
      </c>
      <c r="H95" s="20" t="s">
        <v>145</v>
      </c>
      <c r="I95" s="20" t="s">
        <v>146</v>
      </c>
      <c r="J95" s="20" t="s">
        <v>837</v>
      </c>
      <c r="K95" s="20" t="s">
        <v>96</v>
      </c>
      <c r="L95" s="20" t="s">
        <v>847</v>
      </c>
      <c r="M95" s="20" t="s">
        <v>98</v>
      </c>
      <c r="N95" s="20" t="s">
        <v>147</v>
      </c>
      <c r="O95" s="20" t="s">
        <v>848</v>
      </c>
      <c r="P95" s="20" t="s">
        <v>149</v>
      </c>
      <c r="Q95" s="20" t="s">
        <v>150</v>
      </c>
      <c r="R95" s="20" t="s">
        <v>151</v>
      </c>
      <c r="S95" s="20" t="s">
        <v>152</v>
      </c>
      <c r="T95" s="20" t="s">
        <v>861</v>
      </c>
      <c r="U95" s="20" t="s">
        <v>154</v>
      </c>
      <c r="V95" s="21" t="s">
        <v>267</v>
      </c>
      <c r="W95" s="21" t="s">
        <v>108</v>
      </c>
      <c r="X95" s="21" t="s">
        <v>772</v>
      </c>
      <c r="Y95" s="21" t="s">
        <v>862</v>
      </c>
      <c r="Z95" s="21" t="s">
        <v>256</v>
      </c>
      <c r="AA95" s="21" t="s">
        <v>630</v>
      </c>
      <c r="AB95" s="21" t="s">
        <v>869</v>
      </c>
      <c r="AC95" s="21" t="s">
        <v>870</v>
      </c>
      <c r="AD95" s="42"/>
      <c r="AE95" s="23" t="s">
        <v>115</v>
      </c>
      <c r="AF95" s="42"/>
      <c r="AG95" s="23" t="s">
        <v>116</v>
      </c>
      <c r="AH95" s="42"/>
      <c r="AI95" s="25" t="s">
        <v>117</v>
      </c>
      <c r="AJ95" s="42"/>
      <c r="AK95" s="25" t="s">
        <v>117</v>
      </c>
      <c r="AL95" s="22">
        <v>0</v>
      </c>
      <c r="AM95" s="23" t="s">
        <v>115</v>
      </c>
      <c r="AN95" s="42"/>
      <c r="AO95" s="25" t="s">
        <v>117</v>
      </c>
      <c r="AP95" s="45" t="s">
        <v>118</v>
      </c>
      <c r="AQ95" s="23" t="s">
        <v>115</v>
      </c>
      <c r="AR95" s="46"/>
      <c r="AS95" s="23" t="s">
        <v>117</v>
      </c>
      <c r="AT95" s="45" t="s">
        <v>118</v>
      </c>
      <c r="AU95" s="23" t="s">
        <v>116</v>
      </c>
      <c r="AV95" s="45" t="s">
        <v>118</v>
      </c>
      <c r="AW95" s="23" t="s">
        <v>115</v>
      </c>
      <c r="AX95" s="45" t="s">
        <v>118</v>
      </c>
      <c r="AY95" s="23" t="s">
        <v>115</v>
      </c>
      <c r="AZ95" s="45" t="s">
        <v>118</v>
      </c>
      <c r="BA95" s="23" t="s">
        <v>115</v>
      </c>
      <c r="BB95" s="46"/>
      <c r="BC95" s="23" t="s">
        <v>115</v>
      </c>
      <c r="BD95" s="47">
        <v>2000</v>
      </c>
      <c r="BE95" s="23" t="s">
        <v>115</v>
      </c>
      <c r="BF95" s="45" t="s">
        <v>118</v>
      </c>
      <c r="BG95" s="23" t="s">
        <v>115</v>
      </c>
      <c r="BH95" s="46"/>
      <c r="BI95" s="25" t="s">
        <v>117</v>
      </c>
      <c r="BJ95" s="46"/>
      <c r="BK95" s="25" t="s">
        <v>117</v>
      </c>
      <c r="BL95" s="46"/>
      <c r="BM95" s="25" t="s">
        <v>117</v>
      </c>
      <c r="BN95" s="46"/>
      <c r="BO95" s="25" t="s">
        <v>117</v>
      </c>
      <c r="BP95" s="46"/>
      <c r="BQ95" s="25" t="s">
        <v>117</v>
      </c>
      <c r="BR95" s="47">
        <v>15000</v>
      </c>
      <c r="BS95" s="25" t="s">
        <v>115</v>
      </c>
      <c r="BT95" s="46"/>
      <c r="BU95" s="25" t="s">
        <v>117</v>
      </c>
      <c r="BV95" s="46"/>
      <c r="BW95" s="25" t="s">
        <v>117</v>
      </c>
      <c r="BX95" s="46"/>
      <c r="BY95" s="25" t="s">
        <v>117</v>
      </c>
      <c r="BZ95" s="46"/>
      <c r="CA95" s="25" t="s">
        <v>117</v>
      </c>
      <c r="CB95" s="45" t="s">
        <v>159</v>
      </c>
      <c r="CC95" s="25" t="s">
        <v>116</v>
      </c>
      <c r="CD95" s="46"/>
      <c r="CE95" s="25" t="s">
        <v>117</v>
      </c>
      <c r="CF95" s="46"/>
      <c r="CG95" s="25" t="s">
        <v>117</v>
      </c>
      <c r="CH95" s="151">
        <v>5000</v>
      </c>
      <c r="CI95" s="25" t="s">
        <v>116</v>
      </c>
      <c r="CJ95" s="151">
        <v>2500</v>
      </c>
      <c r="CK95" s="48" t="s">
        <v>116</v>
      </c>
      <c r="CL95" s="46">
        <v>1500</v>
      </c>
      <c r="CM95" s="48" t="s">
        <v>116</v>
      </c>
      <c r="CN95" s="46">
        <v>1500</v>
      </c>
      <c r="CO95" s="25" t="s">
        <v>116</v>
      </c>
      <c r="CP95" s="30">
        <v>400</v>
      </c>
      <c r="CQ95" s="23" t="s">
        <v>115</v>
      </c>
      <c r="CR95" s="32"/>
      <c r="CS95" s="23" t="s">
        <v>117</v>
      </c>
      <c r="CT95" s="32"/>
      <c r="CU95" s="23" t="s">
        <v>117</v>
      </c>
      <c r="CV95" s="32"/>
      <c r="CW95" s="23" t="s">
        <v>117</v>
      </c>
      <c r="CX95" s="32"/>
      <c r="CY95" s="25" t="s">
        <v>117</v>
      </c>
      <c r="CZ95" s="32"/>
      <c r="DA95" s="25" t="s">
        <v>117</v>
      </c>
      <c r="DB95" s="33" t="s">
        <v>832</v>
      </c>
      <c r="DC95" s="25" t="s">
        <v>116</v>
      </c>
      <c r="DD95" s="34">
        <f t="shared" si="18"/>
        <v>1568</v>
      </c>
      <c r="DE95" t="s">
        <v>871</v>
      </c>
      <c r="DF95" t="str">
        <f t="shared" si="19"/>
        <v>Cyprus#Fund#Cyprus CF</v>
      </c>
      <c r="DG95" t="b">
        <f t="shared" si="20"/>
        <v>1</v>
      </c>
    </row>
    <row r="96" spans="1:111" ht="78.75" hidden="1" customHeight="1" x14ac:dyDescent="0.35">
      <c r="A96" s="184" t="s">
        <v>872</v>
      </c>
      <c r="B96" s="184"/>
      <c r="C96" s="184"/>
      <c r="D96" s="184"/>
      <c r="E96" s="184"/>
      <c r="F96" s="184"/>
      <c r="G96" s="184"/>
      <c r="H96" s="184"/>
      <c r="I96" s="184"/>
      <c r="J96" s="184"/>
      <c r="K96" s="184"/>
      <c r="L96" s="184"/>
      <c r="M96" s="184"/>
      <c r="N96" s="184"/>
      <c r="O96" s="184"/>
      <c r="P96" s="184"/>
      <c r="Q96" s="184"/>
      <c r="R96" s="184"/>
      <c r="S96" s="184"/>
      <c r="T96" s="184"/>
      <c r="U96" s="184"/>
      <c r="V96" s="184"/>
      <c r="W96" s="184"/>
      <c r="X96" s="184"/>
      <c r="Y96" s="184"/>
      <c r="Z96" s="184"/>
      <c r="AA96" s="184"/>
      <c r="AB96" s="184"/>
      <c r="AC96" s="184"/>
      <c r="AD96" s="184"/>
      <c r="AE96" s="184"/>
      <c r="AF96" s="184"/>
      <c r="AG96" s="184"/>
      <c r="AH96" s="184"/>
      <c r="AI96" s="184"/>
      <c r="AJ96" s="184"/>
      <c r="AK96" s="184"/>
      <c r="AL96" s="184"/>
      <c r="AM96" s="184"/>
      <c r="AN96" s="184"/>
      <c r="AO96" s="184"/>
      <c r="AP96" s="184"/>
      <c r="AQ96" s="184"/>
      <c r="AR96" s="184"/>
      <c r="AS96" s="184"/>
      <c r="AT96" s="184"/>
      <c r="AU96" s="184"/>
      <c r="AV96" s="184"/>
      <c r="AW96" s="184"/>
      <c r="AX96" s="184"/>
      <c r="AY96" s="184"/>
      <c r="AZ96" s="184"/>
      <c r="BA96" s="184"/>
      <c r="BB96" s="184"/>
      <c r="BC96" s="184"/>
      <c r="BD96" s="184"/>
      <c r="BE96" s="184"/>
      <c r="BF96" s="184"/>
      <c r="BG96" s="184"/>
      <c r="BH96" s="184"/>
      <c r="BI96" s="184"/>
      <c r="BJ96" s="184"/>
      <c r="BK96" s="184"/>
      <c r="BL96" s="184"/>
      <c r="BM96" s="184"/>
      <c r="BN96" s="184"/>
      <c r="BO96" s="184"/>
      <c r="BP96" s="184"/>
      <c r="BQ96" s="184"/>
      <c r="BR96" s="184"/>
      <c r="BS96" s="184"/>
      <c r="BT96" s="184"/>
      <c r="BU96" s="184"/>
      <c r="BV96" s="184"/>
      <c r="BW96" s="184"/>
      <c r="BX96" s="184"/>
      <c r="BY96" s="184"/>
      <c r="BZ96" s="184"/>
      <c r="CA96" s="184"/>
      <c r="CB96" s="184"/>
      <c r="CC96" s="184"/>
      <c r="CD96" s="184"/>
      <c r="CE96" s="184"/>
      <c r="CF96" s="184"/>
      <c r="CG96" s="184"/>
      <c r="CH96" s="184"/>
      <c r="CI96" s="184"/>
      <c r="CJ96" s="184"/>
      <c r="CK96" s="184"/>
      <c r="CL96" s="184"/>
      <c r="CM96" s="184"/>
      <c r="CN96" s="184"/>
      <c r="CO96" s="184"/>
      <c r="CP96" s="184"/>
      <c r="CQ96" s="184"/>
      <c r="CR96" s="184"/>
      <c r="CS96" s="184"/>
      <c r="CT96" s="184"/>
      <c r="CU96" s="184"/>
      <c r="CV96" s="184"/>
      <c r="CW96" s="184"/>
      <c r="CX96" s="184"/>
      <c r="CY96" s="184"/>
      <c r="CZ96" s="184"/>
      <c r="DA96" s="184"/>
      <c r="DB96" s="184"/>
      <c r="DC96" s="184"/>
      <c r="DE96" t="s">
        <v>85</v>
      </c>
      <c r="DF96" t="str">
        <f>A91&amp;"#"&amp;C91&amp;"#"&amp;D91</f>
        <v>Cyprus#Trust#Cyprus Trust</v>
      </c>
    </row>
    <row r="97" spans="1:111" ht="78.75" hidden="1" customHeight="1" x14ac:dyDescent="0.35">
      <c r="A97" s="18" t="s">
        <v>873</v>
      </c>
      <c r="B97" s="72" t="s">
        <v>874</v>
      </c>
      <c r="C97" s="18" t="s">
        <v>88</v>
      </c>
      <c r="D97" s="19" t="s">
        <v>875</v>
      </c>
      <c r="E97" s="18" t="s">
        <v>90</v>
      </c>
      <c r="F97" s="20" t="s">
        <v>876</v>
      </c>
      <c r="G97" s="20" t="s">
        <v>877</v>
      </c>
      <c r="H97" s="20" t="s">
        <v>93</v>
      </c>
      <c r="I97" s="20" t="s">
        <v>878</v>
      </c>
      <c r="J97" s="20" t="s">
        <v>879</v>
      </c>
      <c r="K97" s="20" t="s">
        <v>96</v>
      </c>
      <c r="L97" s="20" t="s">
        <v>97</v>
      </c>
      <c r="M97" s="20" t="s">
        <v>98</v>
      </c>
      <c r="N97" s="20" t="s">
        <v>880</v>
      </c>
      <c r="O97" s="20" t="s">
        <v>100</v>
      </c>
      <c r="P97" s="20" t="s">
        <v>101</v>
      </c>
      <c r="Q97" s="20" t="s">
        <v>102</v>
      </c>
      <c r="R97" s="20" t="s">
        <v>515</v>
      </c>
      <c r="S97" s="20" t="s">
        <v>516</v>
      </c>
      <c r="T97" s="20" t="s">
        <v>105</v>
      </c>
      <c r="U97" s="20" t="s">
        <v>517</v>
      </c>
      <c r="V97" s="21" t="s">
        <v>518</v>
      </c>
      <c r="W97" s="21" t="s">
        <v>108</v>
      </c>
      <c r="X97" s="21" t="s">
        <v>109</v>
      </c>
      <c r="Y97" s="21" t="s">
        <v>881</v>
      </c>
      <c r="Z97" s="21" t="s">
        <v>882</v>
      </c>
      <c r="AA97" s="21" t="s">
        <v>191</v>
      </c>
      <c r="AB97" s="21" t="s">
        <v>883</v>
      </c>
      <c r="AC97" s="21" t="s">
        <v>884</v>
      </c>
      <c r="AD97" s="22">
        <v>1910</v>
      </c>
      <c r="AE97" s="23" t="s">
        <v>115</v>
      </c>
      <c r="AF97" s="24"/>
      <c r="AG97" s="23" t="s">
        <v>116</v>
      </c>
      <c r="AH97" s="24"/>
      <c r="AI97" s="25" t="s">
        <v>117</v>
      </c>
      <c r="AJ97" s="24"/>
      <c r="AK97" s="25" t="s">
        <v>117</v>
      </c>
      <c r="AL97" s="22">
        <v>0</v>
      </c>
      <c r="AM97" s="23" t="s">
        <v>115</v>
      </c>
      <c r="AN97" s="24"/>
      <c r="AO97" s="25" t="s">
        <v>117</v>
      </c>
      <c r="AP97" s="22">
        <v>2720</v>
      </c>
      <c r="AQ97" s="23" t="s">
        <v>115</v>
      </c>
      <c r="AR97" s="24"/>
      <c r="AS97" s="23" t="s">
        <v>117</v>
      </c>
      <c r="AT97" s="27" t="s">
        <v>118</v>
      </c>
      <c r="AU97" s="23" t="s">
        <v>116</v>
      </c>
      <c r="AV97" s="22">
        <v>1980</v>
      </c>
      <c r="AW97" s="23" t="s">
        <v>115</v>
      </c>
      <c r="AX97" s="27" t="s">
        <v>118</v>
      </c>
      <c r="AY97" s="23" t="s">
        <v>115</v>
      </c>
      <c r="AZ97" s="22">
        <v>300</v>
      </c>
      <c r="BA97" s="23" t="s">
        <v>115</v>
      </c>
      <c r="BB97" s="24"/>
      <c r="BC97" s="23" t="s">
        <v>115</v>
      </c>
      <c r="BD97" s="27" t="s">
        <v>118</v>
      </c>
      <c r="BE97" s="23" t="s">
        <v>115</v>
      </c>
      <c r="BF97" s="22">
        <v>3300</v>
      </c>
      <c r="BG97" s="23" t="s">
        <v>115</v>
      </c>
      <c r="BH97" s="24"/>
      <c r="BI97" s="25" t="s">
        <v>117</v>
      </c>
      <c r="BJ97" s="24"/>
      <c r="BK97" s="25" t="s">
        <v>117</v>
      </c>
      <c r="BL97" s="24"/>
      <c r="BM97" s="25" t="s">
        <v>117</v>
      </c>
      <c r="BN97" s="24"/>
      <c r="BO97" s="25" t="s">
        <v>117</v>
      </c>
      <c r="BP97" s="24"/>
      <c r="BQ97" s="25" t="s">
        <v>117</v>
      </c>
      <c r="BR97" s="24"/>
      <c r="BS97" s="25" t="s">
        <v>117</v>
      </c>
      <c r="BT97" s="24"/>
      <c r="BU97" s="25" t="s">
        <v>117</v>
      </c>
      <c r="BV97" s="24"/>
      <c r="BW97" s="25" t="s">
        <v>117</v>
      </c>
      <c r="BX97" s="24"/>
      <c r="BY97" s="25" t="s">
        <v>117</v>
      </c>
      <c r="BZ97" s="24"/>
      <c r="CA97" s="25" t="s">
        <v>117</v>
      </c>
      <c r="CB97" s="24"/>
      <c r="CC97" s="25" t="s">
        <v>117</v>
      </c>
      <c r="CD97" s="24"/>
      <c r="CE97" s="25" t="s">
        <v>117</v>
      </c>
      <c r="CF97" s="24"/>
      <c r="CG97" s="25" t="s">
        <v>117</v>
      </c>
      <c r="CH97" s="24"/>
      <c r="CI97" s="25"/>
      <c r="CJ97" s="24"/>
      <c r="CK97" s="29" t="s">
        <v>117</v>
      </c>
      <c r="CL97" s="24"/>
      <c r="CM97" s="29" t="s">
        <v>117</v>
      </c>
      <c r="CN97" s="24"/>
      <c r="CO97" s="25" t="s">
        <v>117</v>
      </c>
      <c r="CP97" s="30">
        <v>400</v>
      </c>
      <c r="CQ97" s="23" t="s">
        <v>115</v>
      </c>
      <c r="CR97" s="32"/>
      <c r="CS97" s="23" t="s">
        <v>117</v>
      </c>
      <c r="CT97" s="32"/>
      <c r="CU97" s="23" t="s">
        <v>117</v>
      </c>
      <c r="CV97" s="32"/>
      <c r="CW97" s="23" t="s">
        <v>117</v>
      </c>
      <c r="CX97" s="32"/>
      <c r="CY97" s="25" t="s">
        <v>117</v>
      </c>
      <c r="CZ97" s="32"/>
      <c r="DA97" s="25" t="s">
        <v>117</v>
      </c>
      <c r="DB97" s="33" t="s">
        <v>120</v>
      </c>
      <c r="DC97" s="25" t="s">
        <v>116</v>
      </c>
      <c r="DD97" s="34">
        <f t="shared" ref="DD97:DD108" si="21">ROUND(0.075*SUM(AD97,AF97,AH97,AJ97,AL97,AN97,AP97,AR97,AT97,AV97,AX97,AZ97,BB97,BR97,BT97,BV97,BX97,BZ97,CB97,CD97,CF97,CJ97,CL97,CN97,CP97,CR97,CT97,CV97,CX97,CZ97),0)</f>
        <v>548</v>
      </c>
      <c r="DE97" t="s">
        <v>885</v>
      </c>
      <c r="DF97" t="str">
        <f t="shared" ref="DF97:DF108" si="22">A97&amp;"#"&amp;C97&amp;"#"&amp;D97</f>
        <v>Delaware#Company#Delaware LLC multi-member Non-US Manager</v>
      </c>
      <c r="DG97" t="b">
        <f t="shared" ref="DG97:DG108" si="23">DE97=DF97</f>
        <v>1</v>
      </c>
    </row>
    <row r="98" spans="1:111" ht="78.75" hidden="1" customHeight="1" x14ac:dyDescent="0.35">
      <c r="A98" s="72" t="s">
        <v>873</v>
      </c>
      <c r="B98" s="72" t="s">
        <v>874</v>
      </c>
      <c r="C98" s="72" t="s">
        <v>88</v>
      </c>
      <c r="D98" s="73" t="s">
        <v>886</v>
      </c>
      <c r="E98" s="72" t="s">
        <v>710</v>
      </c>
      <c r="F98" s="20" t="s">
        <v>887</v>
      </c>
      <c r="G98" s="20" t="s">
        <v>888</v>
      </c>
      <c r="H98" s="20" t="s">
        <v>93</v>
      </c>
      <c r="I98" s="20" t="s">
        <v>878</v>
      </c>
      <c r="J98" s="20" t="s">
        <v>879</v>
      </c>
      <c r="K98" s="20" t="s">
        <v>96</v>
      </c>
      <c r="L98" s="20" t="s">
        <v>97</v>
      </c>
      <c r="M98" s="20" t="s">
        <v>98</v>
      </c>
      <c r="N98" s="20" t="s">
        <v>880</v>
      </c>
      <c r="O98" s="20" t="s">
        <v>100</v>
      </c>
      <c r="P98" s="20" t="s">
        <v>101</v>
      </c>
      <c r="Q98" s="20" t="s">
        <v>102</v>
      </c>
      <c r="R98" s="20" t="s">
        <v>515</v>
      </c>
      <c r="S98" s="20" t="s">
        <v>516</v>
      </c>
      <c r="T98" s="20" t="s">
        <v>105</v>
      </c>
      <c r="U98" s="20" t="s">
        <v>517</v>
      </c>
      <c r="V98" s="21" t="s">
        <v>518</v>
      </c>
      <c r="W98" s="21" t="s">
        <v>108</v>
      </c>
      <c r="X98" s="21" t="s">
        <v>109</v>
      </c>
      <c r="Y98" s="21" t="s">
        <v>881</v>
      </c>
      <c r="Z98" s="21" t="s">
        <v>889</v>
      </c>
      <c r="AA98" s="21" t="s">
        <v>191</v>
      </c>
      <c r="AB98" s="21" t="s">
        <v>890</v>
      </c>
      <c r="AC98" s="21" t="s">
        <v>891</v>
      </c>
      <c r="AD98" s="61">
        <v>1910</v>
      </c>
      <c r="AE98" s="23" t="s">
        <v>115</v>
      </c>
      <c r="AF98" s="74"/>
      <c r="AG98" s="23" t="s">
        <v>116</v>
      </c>
      <c r="AH98" s="74"/>
      <c r="AI98" s="25" t="s">
        <v>117</v>
      </c>
      <c r="AJ98" s="74"/>
      <c r="AK98" s="25" t="s">
        <v>117</v>
      </c>
      <c r="AL98" s="22">
        <v>0</v>
      </c>
      <c r="AM98" s="23" t="s">
        <v>115</v>
      </c>
      <c r="AN98" s="74"/>
      <c r="AO98" s="25" t="s">
        <v>117</v>
      </c>
      <c r="AP98" s="61">
        <v>4080</v>
      </c>
      <c r="AQ98" s="23" t="s">
        <v>115</v>
      </c>
      <c r="AR98" s="74"/>
      <c r="AS98" s="23" t="s">
        <v>117</v>
      </c>
      <c r="AT98" s="58" t="s">
        <v>118</v>
      </c>
      <c r="AU98" s="23" t="s">
        <v>116</v>
      </c>
      <c r="AV98" s="61">
        <v>1980</v>
      </c>
      <c r="AW98" s="23" t="s">
        <v>115</v>
      </c>
      <c r="AX98" s="58" t="s">
        <v>118</v>
      </c>
      <c r="AY98" s="23" t="s">
        <v>115</v>
      </c>
      <c r="AZ98" s="61">
        <v>300</v>
      </c>
      <c r="BA98" s="23" t="s">
        <v>115</v>
      </c>
      <c r="BB98" s="74"/>
      <c r="BC98" s="23" t="s">
        <v>115</v>
      </c>
      <c r="BD98" s="58" t="s">
        <v>118</v>
      </c>
      <c r="BE98" s="23" t="s">
        <v>115</v>
      </c>
      <c r="BF98" s="58" t="s">
        <v>118</v>
      </c>
      <c r="BG98" s="23" t="s">
        <v>115</v>
      </c>
      <c r="BH98" s="75"/>
      <c r="BI98" s="25" t="s">
        <v>117</v>
      </c>
      <c r="BJ98" s="75"/>
      <c r="BK98" s="25" t="s">
        <v>117</v>
      </c>
      <c r="BL98" s="75"/>
      <c r="BM98" s="25" t="s">
        <v>117</v>
      </c>
      <c r="BN98" s="75"/>
      <c r="BO98" s="25" t="s">
        <v>117</v>
      </c>
      <c r="BP98" s="75"/>
      <c r="BQ98" s="25" t="s">
        <v>117</v>
      </c>
      <c r="BR98" s="75"/>
      <c r="BS98" s="25" t="s">
        <v>117</v>
      </c>
      <c r="BT98" s="75"/>
      <c r="BU98" s="25" t="s">
        <v>117</v>
      </c>
      <c r="BV98" s="75"/>
      <c r="BW98" s="25" t="s">
        <v>117</v>
      </c>
      <c r="BX98" s="75"/>
      <c r="BY98" s="25" t="s">
        <v>117</v>
      </c>
      <c r="BZ98" s="75"/>
      <c r="CA98" s="25" t="s">
        <v>117</v>
      </c>
      <c r="CB98" s="75"/>
      <c r="CC98" s="25" t="s">
        <v>117</v>
      </c>
      <c r="CD98" s="75"/>
      <c r="CE98" s="25" t="s">
        <v>117</v>
      </c>
      <c r="CF98" s="75"/>
      <c r="CG98" s="25" t="s">
        <v>117</v>
      </c>
      <c r="CH98" s="75"/>
      <c r="CI98" s="25"/>
      <c r="CJ98" s="75"/>
      <c r="CK98" s="62" t="s">
        <v>117</v>
      </c>
      <c r="CL98" s="75"/>
      <c r="CM98" s="62" t="s">
        <v>117</v>
      </c>
      <c r="CN98" s="75"/>
      <c r="CO98" s="25" t="s">
        <v>117</v>
      </c>
      <c r="CP98" s="30">
        <v>400</v>
      </c>
      <c r="CQ98" s="23" t="s">
        <v>115</v>
      </c>
      <c r="CR98" s="32"/>
      <c r="CS98" s="23" t="s">
        <v>117</v>
      </c>
      <c r="CT98" s="32"/>
      <c r="CU98" s="23" t="s">
        <v>117</v>
      </c>
      <c r="CV98" s="32"/>
      <c r="CW98" s="23" t="s">
        <v>117</v>
      </c>
      <c r="CX98" s="32"/>
      <c r="CY98" s="25" t="s">
        <v>117</v>
      </c>
      <c r="CZ98" s="32"/>
      <c r="DA98" s="25" t="s">
        <v>117</v>
      </c>
      <c r="DB98" s="33" t="s">
        <v>120</v>
      </c>
      <c r="DC98" s="25" t="s">
        <v>116</v>
      </c>
      <c r="DD98" s="34">
        <f t="shared" si="21"/>
        <v>650</v>
      </c>
      <c r="DE98" t="s">
        <v>892</v>
      </c>
      <c r="DF98" t="str">
        <f t="shared" si="22"/>
        <v>Delaware#Company#Delaware LLC multi-member US Manager</v>
      </c>
      <c r="DG98" t="b">
        <f t="shared" si="23"/>
        <v>1</v>
      </c>
    </row>
    <row r="99" spans="1:111" ht="78.75" hidden="1" customHeight="1" x14ac:dyDescent="0.35">
      <c r="A99" s="18" t="s">
        <v>873</v>
      </c>
      <c r="B99" s="72" t="s">
        <v>874</v>
      </c>
      <c r="C99" s="18" t="s">
        <v>88</v>
      </c>
      <c r="D99" s="19" t="s">
        <v>893</v>
      </c>
      <c r="E99" s="18" t="s">
        <v>90</v>
      </c>
      <c r="F99" s="20" t="s">
        <v>894</v>
      </c>
      <c r="G99" s="20" t="s">
        <v>895</v>
      </c>
      <c r="H99" s="20" t="s">
        <v>93</v>
      </c>
      <c r="I99" s="20" t="s">
        <v>878</v>
      </c>
      <c r="J99" s="20" t="s">
        <v>879</v>
      </c>
      <c r="K99" s="20" t="s">
        <v>96</v>
      </c>
      <c r="L99" s="20" t="s">
        <v>97</v>
      </c>
      <c r="M99" s="20" t="s">
        <v>98</v>
      </c>
      <c r="N99" s="20" t="s">
        <v>880</v>
      </c>
      <c r="O99" s="20" t="s">
        <v>100</v>
      </c>
      <c r="P99" s="20" t="s">
        <v>101</v>
      </c>
      <c r="Q99" s="20" t="s">
        <v>102</v>
      </c>
      <c r="R99" s="20" t="s">
        <v>515</v>
      </c>
      <c r="S99" s="20" t="s">
        <v>516</v>
      </c>
      <c r="T99" s="20" t="s">
        <v>105</v>
      </c>
      <c r="U99" s="20" t="s">
        <v>517</v>
      </c>
      <c r="V99" s="21" t="s">
        <v>518</v>
      </c>
      <c r="W99" s="21" t="s">
        <v>108</v>
      </c>
      <c r="X99" s="21" t="s">
        <v>109</v>
      </c>
      <c r="Y99" s="21" t="s">
        <v>881</v>
      </c>
      <c r="Z99" s="21" t="s">
        <v>889</v>
      </c>
      <c r="AA99" s="21" t="s">
        <v>112</v>
      </c>
      <c r="AB99" s="21" t="s">
        <v>896</v>
      </c>
      <c r="AC99" s="21" t="s">
        <v>897</v>
      </c>
      <c r="AD99" s="22">
        <v>1640</v>
      </c>
      <c r="AE99" s="23" t="s">
        <v>115</v>
      </c>
      <c r="AF99" s="24"/>
      <c r="AG99" s="23" t="s">
        <v>116</v>
      </c>
      <c r="AH99" s="24"/>
      <c r="AI99" s="25" t="s">
        <v>117</v>
      </c>
      <c r="AJ99" s="24"/>
      <c r="AK99" s="25" t="s">
        <v>117</v>
      </c>
      <c r="AL99" s="22">
        <v>0</v>
      </c>
      <c r="AM99" s="23" t="s">
        <v>115</v>
      </c>
      <c r="AN99" s="24"/>
      <c r="AO99" s="25" t="s">
        <v>117</v>
      </c>
      <c r="AP99" s="22">
        <v>4080</v>
      </c>
      <c r="AQ99" s="23" t="s">
        <v>115</v>
      </c>
      <c r="AR99" s="24"/>
      <c r="AS99" s="23" t="s">
        <v>117</v>
      </c>
      <c r="AT99" s="27" t="s">
        <v>118</v>
      </c>
      <c r="AU99" s="23" t="s">
        <v>116</v>
      </c>
      <c r="AV99" s="22">
        <v>1980</v>
      </c>
      <c r="AW99" s="23" t="s">
        <v>115</v>
      </c>
      <c r="AX99" s="27" t="s">
        <v>118</v>
      </c>
      <c r="AY99" s="23" t="s">
        <v>115</v>
      </c>
      <c r="AZ99" s="22">
        <v>300</v>
      </c>
      <c r="BA99" s="23" t="s">
        <v>115</v>
      </c>
      <c r="BB99" s="24"/>
      <c r="BC99" s="23" t="s">
        <v>115</v>
      </c>
      <c r="BD99" s="27" t="s">
        <v>118</v>
      </c>
      <c r="BE99" s="23" t="s">
        <v>115</v>
      </c>
      <c r="BF99" s="27" t="s">
        <v>118</v>
      </c>
      <c r="BG99" s="23" t="s">
        <v>115</v>
      </c>
      <c r="BH99" s="28"/>
      <c r="BI99" s="25" t="s">
        <v>117</v>
      </c>
      <c r="BJ99" s="28"/>
      <c r="BK99" s="25" t="s">
        <v>117</v>
      </c>
      <c r="BL99" s="28"/>
      <c r="BM99" s="25" t="s">
        <v>117</v>
      </c>
      <c r="BN99" s="28"/>
      <c r="BO99" s="25" t="s">
        <v>117</v>
      </c>
      <c r="BP99" s="28"/>
      <c r="BQ99" s="25" t="s">
        <v>117</v>
      </c>
      <c r="BR99" s="28"/>
      <c r="BS99" s="25" t="s">
        <v>117</v>
      </c>
      <c r="BT99" s="28"/>
      <c r="BU99" s="25" t="s">
        <v>117</v>
      </c>
      <c r="BV99" s="28"/>
      <c r="BW99" s="25" t="s">
        <v>117</v>
      </c>
      <c r="BX99" s="28"/>
      <c r="BY99" s="25" t="s">
        <v>117</v>
      </c>
      <c r="BZ99" s="28"/>
      <c r="CA99" s="25" t="s">
        <v>117</v>
      </c>
      <c r="CB99" s="28"/>
      <c r="CC99" s="25" t="s">
        <v>117</v>
      </c>
      <c r="CD99" s="28"/>
      <c r="CE99" s="25" t="s">
        <v>117</v>
      </c>
      <c r="CF99" s="28"/>
      <c r="CG99" s="25" t="s">
        <v>117</v>
      </c>
      <c r="CH99" s="28"/>
      <c r="CI99" s="25"/>
      <c r="CJ99" s="28"/>
      <c r="CK99" s="29" t="s">
        <v>117</v>
      </c>
      <c r="CL99" s="28"/>
      <c r="CM99" s="29" t="s">
        <v>117</v>
      </c>
      <c r="CN99" s="28"/>
      <c r="CO99" s="25" t="s">
        <v>117</v>
      </c>
      <c r="CP99" s="30">
        <v>400</v>
      </c>
      <c r="CQ99" s="23" t="s">
        <v>115</v>
      </c>
      <c r="CR99" s="32"/>
      <c r="CS99" s="23" t="s">
        <v>117</v>
      </c>
      <c r="CT99" s="32"/>
      <c r="CU99" s="23" t="s">
        <v>117</v>
      </c>
      <c r="CV99" s="32"/>
      <c r="CW99" s="23" t="s">
        <v>117</v>
      </c>
      <c r="CX99" s="32"/>
      <c r="CY99" s="25" t="s">
        <v>117</v>
      </c>
      <c r="CZ99" s="32"/>
      <c r="DA99" s="25" t="s">
        <v>117</v>
      </c>
      <c r="DB99" s="33" t="s">
        <v>120</v>
      </c>
      <c r="DC99" s="25" t="s">
        <v>116</v>
      </c>
      <c r="DD99" s="34">
        <f t="shared" si="21"/>
        <v>630</v>
      </c>
      <c r="DE99" t="s">
        <v>898</v>
      </c>
      <c r="DF99" t="str">
        <f t="shared" si="22"/>
        <v>Delaware#Company#Delaware LLC single-member US Manager</v>
      </c>
      <c r="DG99" t="b">
        <f t="shared" si="23"/>
        <v>1</v>
      </c>
    </row>
    <row r="100" spans="1:111" ht="78.75" hidden="1" customHeight="1" x14ac:dyDescent="0.35">
      <c r="A100" s="72" t="s">
        <v>873</v>
      </c>
      <c r="B100" s="72" t="s">
        <v>874</v>
      </c>
      <c r="C100" s="72" t="s">
        <v>88</v>
      </c>
      <c r="D100" s="73" t="s">
        <v>899</v>
      </c>
      <c r="E100" s="72" t="s">
        <v>90</v>
      </c>
      <c r="F100" s="20" t="s">
        <v>900</v>
      </c>
      <c r="G100" s="20" t="s">
        <v>901</v>
      </c>
      <c r="H100" s="20" t="s">
        <v>93</v>
      </c>
      <c r="I100" s="20" t="s">
        <v>878</v>
      </c>
      <c r="J100" s="20" t="s">
        <v>879</v>
      </c>
      <c r="K100" s="20" t="s">
        <v>96</v>
      </c>
      <c r="L100" s="20" t="s">
        <v>97</v>
      </c>
      <c r="M100" s="20" t="s">
        <v>98</v>
      </c>
      <c r="N100" s="20" t="s">
        <v>880</v>
      </c>
      <c r="O100" s="20" t="s">
        <v>100</v>
      </c>
      <c r="P100" s="20" t="s">
        <v>101</v>
      </c>
      <c r="Q100" s="20" t="s">
        <v>102</v>
      </c>
      <c r="R100" s="20" t="s">
        <v>515</v>
      </c>
      <c r="S100" s="20" t="s">
        <v>516</v>
      </c>
      <c r="T100" s="20" t="s">
        <v>105</v>
      </c>
      <c r="U100" s="20" t="s">
        <v>517</v>
      </c>
      <c r="V100" s="21" t="s">
        <v>518</v>
      </c>
      <c r="W100" s="21" t="s">
        <v>108</v>
      </c>
      <c r="X100" s="21" t="s">
        <v>109</v>
      </c>
      <c r="Y100" s="21" t="s">
        <v>881</v>
      </c>
      <c r="Z100" s="21" t="s">
        <v>889</v>
      </c>
      <c r="AA100" s="21" t="s">
        <v>112</v>
      </c>
      <c r="AB100" s="21" t="s">
        <v>902</v>
      </c>
      <c r="AC100" s="21" t="s">
        <v>903</v>
      </c>
      <c r="AD100" s="61">
        <v>1640</v>
      </c>
      <c r="AE100" s="23" t="s">
        <v>115</v>
      </c>
      <c r="AF100" s="74"/>
      <c r="AG100" s="23" t="s">
        <v>116</v>
      </c>
      <c r="AH100" s="74"/>
      <c r="AI100" s="25" t="s">
        <v>117</v>
      </c>
      <c r="AJ100" s="74"/>
      <c r="AK100" s="25" t="s">
        <v>117</v>
      </c>
      <c r="AL100" s="22">
        <v>0</v>
      </c>
      <c r="AM100" s="23" t="s">
        <v>115</v>
      </c>
      <c r="AN100" s="74"/>
      <c r="AO100" s="25" t="s">
        <v>117</v>
      </c>
      <c r="AP100" s="61">
        <v>2720</v>
      </c>
      <c r="AQ100" s="23" t="s">
        <v>115</v>
      </c>
      <c r="AR100" s="74"/>
      <c r="AS100" s="23" t="s">
        <v>117</v>
      </c>
      <c r="AT100" s="58" t="s">
        <v>118</v>
      </c>
      <c r="AU100" s="23" t="s">
        <v>116</v>
      </c>
      <c r="AV100" s="61">
        <v>1980</v>
      </c>
      <c r="AW100" s="23" t="s">
        <v>115</v>
      </c>
      <c r="AX100" s="58" t="s">
        <v>118</v>
      </c>
      <c r="AY100" s="23" t="s">
        <v>115</v>
      </c>
      <c r="AZ100" s="61">
        <v>300</v>
      </c>
      <c r="BA100" s="23" t="s">
        <v>115</v>
      </c>
      <c r="BB100" s="74"/>
      <c r="BC100" s="23" t="s">
        <v>115</v>
      </c>
      <c r="BD100" s="58" t="s">
        <v>118</v>
      </c>
      <c r="BE100" s="23" t="s">
        <v>115</v>
      </c>
      <c r="BF100" s="58" t="s">
        <v>118</v>
      </c>
      <c r="BG100" s="23" t="s">
        <v>115</v>
      </c>
      <c r="BH100" s="75"/>
      <c r="BI100" s="25" t="s">
        <v>117</v>
      </c>
      <c r="BJ100" s="75"/>
      <c r="BK100" s="25" t="s">
        <v>117</v>
      </c>
      <c r="BL100" s="75"/>
      <c r="BM100" s="25" t="s">
        <v>117</v>
      </c>
      <c r="BN100" s="75"/>
      <c r="BO100" s="25" t="s">
        <v>117</v>
      </c>
      <c r="BP100" s="75"/>
      <c r="BQ100" s="25" t="s">
        <v>117</v>
      </c>
      <c r="BR100" s="75"/>
      <c r="BS100" s="25" t="s">
        <v>117</v>
      </c>
      <c r="BT100" s="75"/>
      <c r="BU100" s="25" t="s">
        <v>117</v>
      </c>
      <c r="BV100" s="75"/>
      <c r="BW100" s="25" t="s">
        <v>117</v>
      </c>
      <c r="BX100" s="75"/>
      <c r="BY100" s="25" t="s">
        <v>117</v>
      </c>
      <c r="BZ100" s="75"/>
      <c r="CA100" s="25" t="s">
        <v>117</v>
      </c>
      <c r="CB100" s="75"/>
      <c r="CC100" s="25" t="s">
        <v>117</v>
      </c>
      <c r="CD100" s="75"/>
      <c r="CE100" s="25" t="s">
        <v>117</v>
      </c>
      <c r="CF100" s="75"/>
      <c r="CG100" s="25" t="s">
        <v>117</v>
      </c>
      <c r="CH100" s="75"/>
      <c r="CI100" s="25"/>
      <c r="CJ100" s="75"/>
      <c r="CK100" s="62" t="s">
        <v>117</v>
      </c>
      <c r="CL100" s="75"/>
      <c r="CM100" s="62" t="s">
        <v>117</v>
      </c>
      <c r="CN100" s="75"/>
      <c r="CO100" s="25" t="s">
        <v>117</v>
      </c>
      <c r="CP100" s="30">
        <v>400</v>
      </c>
      <c r="CQ100" s="23" t="s">
        <v>115</v>
      </c>
      <c r="CR100" s="32"/>
      <c r="CS100" s="23" t="s">
        <v>117</v>
      </c>
      <c r="CT100" s="32"/>
      <c r="CU100" s="23" t="s">
        <v>117</v>
      </c>
      <c r="CV100" s="32"/>
      <c r="CW100" s="23" t="s">
        <v>117</v>
      </c>
      <c r="CX100" s="32"/>
      <c r="CY100" s="25" t="s">
        <v>117</v>
      </c>
      <c r="CZ100" s="32"/>
      <c r="DA100" s="25" t="s">
        <v>117</v>
      </c>
      <c r="DB100" s="33" t="s">
        <v>120</v>
      </c>
      <c r="DC100" s="25" t="s">
        <v>116</v>
      </c>
      <c r="DD100" s="34">
        <f t="shared" si="21"/>
        <v>528</v>
      </c>
      <c r="DE100" t="s">
        <v>904</v>
      </c>
      <c r="DF100" t="str">
        <f t="shared" si="22"/>
        <v>Delaware#Company#Delaware LLC single-member Non-US Manager</v>
      </c>
      <c r="DG100" t="b">
        <f t="shared" si="23"/>
        <v>1</v>
      </c>
    </row>
    <row r="101" spans="1:111" ht="67.5" hidden="1" customHeight="1" x14ac:dyDescent="0.35">
      <c r="A101" s="18" t="s">
        <v>873</v>
      </c>
      <c r="B101" s="72" t="s">
        <v>874</v>
      </c>
      <c r="C101" s="18" t="s">
        <v>88</v>
      </c>
      <c r="D101" s="19" t="s">
        <v>905</v>
      </c>
      <c r="E101" s="18" t="s">
        <v>90</v>
      </c>
      <c r="F101" s="20" t="s">
        <v>906</v>
      </c>
      <c r="G101" s="20" t="s">
        <v>907</v>
      </c>
      <c r="H101" s="20" t="s">
        <v>93</v>
      </c>
      <c r="I101" s="20" t="s">
        <v>878</v>
      </c>
      <c r="J101" s="20" t="s">
        <v>879</v>
      </c>
      <c r="K101" s="20" t="s">
        <v>96</v>
      </c>
      <c r="L101" s="20" t="s">
        <v>97</v>
      </c>
      <c r="M101" s="20" t="s">
        <v>98</v>
      </c>
      <c r="N101" s="20" t="s">
        <v>880</v>
      </c>
      <c r="O101" s="20" t="s">
        <v>100</v>
      </c>
      <c r="P101" s="20" t="s">
        <v>101</v>
      </c>
      <c r="Q101" s="20" t="s">
        <v>102</v>
      </c>
      <c r="R101" s="20" t="s">
        <v>103</v>
      </c>
      <c r="S101" s="20" t="s">
        <v>104</v>
      </c>
      <c r="T101" s="20" t="s">
        <v>105</v>
      </c>
      <c r="U101" s="20" t="s">
        <v>106</v>
      </c>
      <c r="V101" s="21" t="s">
        <v>908</v>
      </c>
      <c r="W101" s="21" t="s">
        <v>108</v>
      </c>
      <c r="X101" s="21" t="s">
        <v>109</v>
      </c>
      <c r="Y101" s="21" t="s">
        <v>909</v>
      </c>
      <c r="Z101" s="21" t="s">
        <v>889</v>
      </c>
      <c r="AA101" s="21" t="s">
        <v>112</v>
      </c>
      <c r="AB101" s="21" t="s">
        <v>910</v>
      </c>
      <c r="AC101" s="21" t="s">
        <v>911</v>
      </c>
      <c r="AD101" s="22">
        <v>1750</v>
      </c>
      <c r="AE101" s="23" t="s">
        <v>115</v>
      </c>
      <c r="AF101" s="24"/>
      <c r="AG101" s="23" t="s">
        <v>116</v>
      </c>
      <c r="AH101" s="24"/>
      <c r="AI101" s="25" t="s">
        <v>117</v>
      </c>
      <c r="AJ101" s="24"/>
      <c r="AK101" s="25" t="s">
        <v>117</v>
      </c>
      <c r="AL101" s="22">
        <v>0</v>
      </c>
      <c r="AM101" s="23" t="s">
        <v>115</v>
      </c>
      <c r="AN101" s="24"/>
      <c r="AO101" s="25" t="s">
        <v>117</v>
      </c>
      <c r="AP101" s="27" t="s">
        <v>118</v>
      </c>
      <c r="AQ101" s="23" t="s">
        <v>115</v>
      </c>
      <c r="AR101" s="28"/>
      <c r="AS101" s="23" t="s">
        <v>117</v>
      </c>
      <c r="AT101" s="27" t="s">
        <v>118</v>
      </c>
      <c r="AU101" s="23" t="s">
        <v>116</v>
      </c>
      <c r="AV101" s="22">
        <v>2450</v>
      </c>
      <c r="AW101" s="23" t="s">
        <v>115</v>
      </c>
      <c r="AX101" s="27" t="s">
        <v>118</v>
      </c>
      <c r="AY101" s="23" t="s">
        <v>115</v>
      </c>
      <c r="AZ101" s="22">
        <v>400</v>
      </c>
      <c r="BA101" s="23" t="s">
        <v>115</v>
      </c>
      <c r="BB101" s="24"/>
      <c r="BC101" s="23" t="s">
        <v>115</v>
      </c>
      <c r="BD101" s="22">
        <v>1700</v>
      </c>
      <c r="BE101" s="23" t="s">
        <v>115</v>
      </c>
      <c r="BF101" s="22">
        <v>1700</v>
      </c>
      <c r="BG101" s="23" t="s">
        <v>115</v>
      </c>
      <c r="BH101" s="24"/>
      <c r="BI101" s="25" t="s">
        <v>117</v>
      </c>
      <c r="BJ101" s="24"/>
      <c r="BK101" s="25" t="s">
        <v>117</v>
      </c>
      <c r="BL101" s="24"/>
      <c r="BM101" s="25" t="s">
        <v>117</v>
      </c>
      <c r="BN101" s="24"/>
      <c r="BO101" s="25" t="s">
        <v>117</v>
      </c>
      <c r="BP101" s="24"/>
      <c r="BQ101" s="25" t="s">
        <v>117</v>
      </c>
      <c r="BR101" s="24"/>
      <c r="BS101" s="25" t="s">
        <v>117</v>
      </c>
      <c r="BT101" s="24"/>
      <c r="BU101" s="25" t="s">
        <v>117</v>
      </c>
      <c r="BV101" s="24"/>
      <c r="BW101" s="25" t="s">
        <v>117</v>
      </c>
      <c r="BX101" s="24"/>
      <c r="BY101" s="25" t="s">
        <v>117</v>
      </c>
      <c r="BZ101" s="24"/>
      <c r="CA101" s="25" t="s">
        <v>117</v>
      </c>
      <c r="CB101" s="24"/>
      <c r="CC101" s="25" t="s">
        <v>117</v>
      </c>
      <c r="CD101" s="24"/>
      <c r="CE101" s="25" t="s">
        <v>117</v>
      </c>
      <c r="CF101" s="24"/>
      <c r="CG101" s="25" t="s">
        <v>117</v>
      </c>
      <c r="CH101" s="24"/>
      <c r="CI101" s="25"/>
      <c r="CJ101" s="24"/>
      <c r="CK101" s="29" t="s">
        <v>117</v>
      </c>
      <c r="CL101" s="24"/>
      <c r="CM101" s="29" t="s">
        <v>117</v>
      </c>
      <c r="CN101" s="24"/>
      <c r="CO101" s="25" t="s">
        <v>117</v>
      </c>
      <c r="CP101" s="30">
        <v>400</v>
      </c>
      <c r="CQ101" s="23" t="s">
        <v>115</v>
      </c>
      <c r="CR101" s="32"/>
      <c r="CS101" s="23" t="s">
        <v>117</v>
      </c>
      <c r="CT101" s="32"/>
      <c r="CU101" s="23" t="s">
        <v>117</v>
      </c>
      <c r="CV101" s="32"/>
      <c r="CW101" s="23" t="s">
        <v>117</v>
      </c>
      <c r="CX101" s="32"/>
      <c r="CY101" s="25" t="s">
        <v>117</v>
      </c>
      <c r="CZ101" s="32"/>
      <c r="DA101" s="25" t="s">
        <v>117</v>
      </c>
      <c r="DB101" s="33" t="s">
        <v>120</v>
      </c>
      <c r="DC101" s="25" t="s">
        <v>116</v>
      </c>
      <c r="DD101" s="34">
        <f t="shared" si="21"/>
        <v>375</v>
      </c>
      <c r="DE101" t="s">
        <v>912</v>
      </c>
      <c r="DF101" t="str">
        <f t="shared" si="22"/>
        <v>Delaware#Company#Delaware C Corp</v>
      </c>
      <c r="DG101" t="b">
        <f t="shared" si="23"/>
        <v>1</v>
      </c>
    </row>
    <row r="102" spans="1:111" ht="78.75" customHeight="1" x14ac:dyDescent="0.35">
      <c r="A102" s="35" t="s">
        <v>873</v>
      </c>
      <c r="B102" s="72" t="s">
        <v>874</v>
      </c>
      <c r="C102" s="35" t="s">
        <v>141</v>
      </c>
      <c r="D102" s="36" t="s">
        <v>913</v>
      </c>
      <c r="E102" s="35" t="s">
        <v>90</v>
      </c>
      <c r="F102" s="20" t="s">
        <v>143</v>
      </c>
      <c r="G102" s="20" t="s">
        <v>914</v>
      </c>
      <c r="H102" s="20" t="s">
        <v>145</v>
      </c>
      <c r="I102" s="20" t="s">
        <v>146</v>
      </c>
      <c r="J102" s="20" t="s">
        <v>879</v>
      </c>
      <c r="K102" s="20" t="s">
        <v>96</v>
      </c>
      <c r="L102" s="20" t="s">
        <v>97</v>
      </c>
      <c r="M102" s="20" t="s">
        <v>98</v>
      </c>
      <c r="N102" s="20" t="s">
        <v>147</v>
      </c>
      <c r="O102" s="20" t="s">
        <v>148</v>
      </c>
      <c r="P102" s="20" t="s">
        <v>149</v>
      </c>
      <c r="Q102" s="20" t="s">
        <v>150</v>
      </c>
      <c r="R102" s="20" t="s">
        <v>151</v>
      </c>
      <c r="S102" s="20" t="s">
        <v>152</v>
      </c>
      <c r="T102" s="20" t="s">
        <v>153</v>
      </c>
      <c r="U102" s="20" t="s">
        <v>154</v>
      </c>
      <c r="V102" s="21" t="s">
        <v>155</v>
      </c>
      <c r="W102" s="21" t="s">
        <v>108</v>
      </c>
      <c r="X102" s="21" t="s">
        <v>109</v>
      </c>
      <c r="Y102" s="21" t="s">
        <v>915</v>
      </c>
      <c r="Z102" s="21" t="s">
        <v>889</v>
      </c>
      <c r="AA102" s="21" t="s">
        <v>112</v>
      </c>
      <c r="AB102" s="21" t="s">
        <v>916</v>
      </c>
      <c r="AC102" s="21" t="s">
        <v>917</v>
      </c>
      <c r="AD102" s="38"/>
      <c r="AE102" s="23" t="s">
        <v>115</v>
      </c>
      <c r="AF102" s="38"/>
      <c r="AG102" s="23" t="s">
        <v>116</v>
      </c>
      <c r="AH102" s="38"/>
      <c r="AI102" s="25" t="s">
        <v>117</v>
      </c>
      <c r="AJ102" s="38"/>
      <c r="AK102" s="25" t="s">
        <v>117</v>
      </c>
      <c r="AL102" s="22">
        <v>0</v>
      </c>
      <c r="AM102" s="23" t="s">
        <v>115</v>
      </c>
      <c r="AN102" s="38"/>
      <c r="AO102" s="25" t="s">
        <v>117</v>
      </c>
      <c r="AP102" s="39" t="s">
        <v>118</v>
      </c>
      <c r="AQ102" s="23" t="s">
        <v>115</v>
      </c>
      <c r="AR102" s="40"/>
      <c r="AS102" s="23" t="s">
        <v>117</v>
      </c>
      <c r="AT102" s="39" t="s">
        <v>118</v>
      </c>
      <c r="AU102" s="23" t="s">
        <v>116</v>
      </c>
      <c r="AV102" s="39" t="s">
        <v>118</v>
      </c>
      <c r="AW102" s="23" t="s">
        <v>115</v>
      </c>
      <c r="AX102" s="39" t="s">
        <v>118</v>
      </c>
      <c r="AY102" s="23" t="s">
        <v>115</v>
      </c>
      <c r="AZ102" s="39" t="s">
        <v>118</v>
      </c>
      <c r="BA102" s="23" t="s">
        <v>115</v>
      </c>
      <c r="BB102" s="40"/>
      <c r="BC102" s="23" t="s">
        <v>115</v>
      </c>
      <c r="BD102" s="39" t="s">
        <v>118</v>
      </c>
      <c r="BE102" s="23" t="s">
        <v>115</v>
      </c>
      <c r="BF102" s="39" t="s">
        <v>118</v>
      </c>
      <c r="BG102" s="23" t="s">
        <v>115</v>
      </c>
      <c r="BH102" s="40"/>
      <c r="BI102" s="25" t="s">
        <v>117</v>
      </c>
      <c r="BJ102" s="40"/>
      <c r="BK102" s="25" t="s">
        <v>117</v>
      </c>
      <c r="BL102" s="40"/>
      <c r="BM102" s="25" t="s">
        <v>117</v>
      </c>
      <c r="BN102" s="40"/>
      <c r="BO102" s="25" t="s">
        <v>117</v>
      </c>
      <c r="BP102" s="40"/>
      <c r="BQ102" s="25" t="s">
        <v>117</v>
      </c>
      <c r="BR102" s="37">
        <v>10000</v>
      </c>
      <c r="BS102" s="25" t="s">
        <v>115</v>
      </c>
      <c r="BT102" s="40"/>
      <c r="BU102" s="25" t="s">
        <v>117</v>
      </c>
      <c r="BV102" s="40"/>
      <c r="BW102" s="25" t="s">
        <v>117</v>
      </c>
      <c r="BX102" s="40"/>
      <c r="BY102" s="25" t="s">
        <v>117</v>
      </c>
      <c r="BZ102" s="46"/>
      <c r="CA102" s="25" t="s">
        <v>117</v>
      </c>
      <c r="CB102" s="45" t="s">
        <v>159</v>
      </c>
      <c r="CC102" s="25" t="s">
        <v>116</v>
      </c>
      <c r="CD102" s="40"/>
      <c r="CE102" s="25" t="s">
        <v>117</v>
      </c>
      <c r="CF102" s="40"/>
      <c r="CG102" s="25" t="s">
        <v>117</v>
      </c>
      <c r="CH102" s="151">
        <v>5000</v>
      </c>
      <c r="CI102" s="25" t="s">
        <v>116</v>
      </c>
      <c r="CJ102" s="151">
        <v>2500</v>
      </c>
      <c r="CK102" s="48" t="s">
        <v>116</v>
      </c>
      <c r="CL102" s="46">
        <v>1500</v>
      </c>
      <c r="CM102" s="48" t="s">
        <v>116</v>
      </c>
      <c r="CN102" s="46">
        <v>1500</v>
      </c>
      <c r="CO102" s="25" t="s">
        <v>116</v>
      </c>
      <c r="CP102" s="30">
        <v>400</v>
      </c>
      <c r="CQ102" s="23" t="s">
        <v>115</v>
      </c>
      <c r="CR102" s="32"/>
      <c r="CS102" s="23" t="s">
        <v>117</v>
      </c>
      <c r="CT102" s="32"/>
      <c r="CU102" s="23" t="s">
        <v>117</v>
      </c>
      <c r="CV102" s="32"/>
      <c r="CW102" s="23" t="s">
        <v>117</v>
      </c>
      <c r="CX102" s="32"/>
      <c r="CY102" s="25" t="s">
        <v>117</v>
      </c>
      <c r="CZ102" s="32"/>
      <c r="DA102" s="25" t="s">
        <v>117</v>
      </c>
      <c r="DB102" s="33" t="s">
        <v>120</v>
      </c>
      <c r="DC102" s="25" t="s">
        <v>116</v>
      </c>
      <c r="DD102" s="34">
        <f t="shared" si="21"/>
        <v>1193</v>
      </c>
      <c r="DE102" t="s">
        <v>918</v>
      </c>
      <c r="DF102" t="str">
        <f t="shared" si="22"/>
        <v>Delaware#Fund#Delaware Ltd</v>
      </c>
      <c r="DG102" t="b">
        <f t="shared" si="23"/>
        <v>1</v>
      </c>
    </row>
    <row r="103" spans="1:111" ht="78.75" customHeight="1" x14ac:dyDescent="0.35">
      <c r="A103" s="42" t="s">
        <v>873</v>
      </c>
      <c r="B103" s="72" t="s">
        <v>874</v>
      </c>
      <c r="C103" s="42" t="s">
        <v>141</v>
      </c>
      <c r="D103" s="43" t="s">
        <v>919</v>
      </c>
      <c r="E103" s="42" t="s">
        <v>90</v>
      </c>
      <c r="F103" s="20" t="s">
        <v>355</v>
      </c>
      <c r="G103" s="20" t="s">
        <v>920</v>
      </c>
      <c r="H103" s="20" t="s">
        <v>145</v>
      </c>
      <c r="I103" s="20" t="s">
        <v>146</v>
      </c>
      <c r="J103" s="20" t="s">
        <v>879</v>
      </c>
      <c r="K103" s="20" t="s">
        <v>96</v>
      </c>
      <c r="L103" s="20" t="s">
        <v>97</v>
      </c>
      <c r="M103" s="20" t="s">
        <v>98</v>
      </c>
      <c r="N103" s="20" t="s">
        <v>147</v>
      </c>
      <c r="O103" s="20" t="s">
        <v>148</v>
      </c>
      <c r="P103" s="20" t="s">
        <v>149</v>
      </c>
      <c r="Q103" s="20" t="s">
        <v>150</v>
      </c>
      <c r="R103" s="20" t="s">
        <v>151</v>
      </c>
      <c r="S103" s="20" t="s">
        <v>152</v>
      </c>
      <c r="T103" s="20" t="s">
        <v>153</v>
      </c>
      <c r="U103" s="20" t="s">
        <v>154</v>
      </c>
      <c r="V103" s="21" t="s">
        <v>292</v>
      </c>
      <c r="W103" s="21" t="s">
        <v>108</v>
      </c>
      <c r="X103" s="21" t="s">
        <v>164</v>
      </c>
      <c r="Y103" s="21" t="s">
        <v>921</v>
      </c>
      <c r="Z103" s="21" t="s">
        <v>889</v>
      </c>
      <c r="AA103" s="21" t="s">
        <v>166</v>
      </c>
      <c r="AB103" s="21" t="s">
        <v>922</v>
      </c>
      <c r="AC103" s="21" t="s">
        <v>923</v>
      </c>
      <c r="AD103" s="44"/>
      <c r="AE103" s="23" t="s">
        <v>115</v>
      </c>
      <c r="AF103" s="44"/>
      <c r="AG103" s="23" t="s">
        <v>116</v>
      </c>
      <c r="AH103" s="44"/>
      <c r="AI103" s="25" t="s">
        <v>117</v>
      </c>
      <c r="AJ103" s="44"/>
      <c r="AK103" s="25" t="s">
        <v>117</v>
      </c>
      <c r="AL103" s="22">
        <v>0</v>
      </c>
      <c r="AM103" s="23" t="s">
        <v>115</v>
      </c>
      <c r="AN103" s="44"/>
      <c r="AO103" s="25" t="s">
        <v>117</v>
      </c>
      <c r="AP103" s="45" t="s">
        <v>118</v>
      </c>
      <c r="AQ103" s="23" t="s">
        <v>115</v>
      </c>
      <c r="AR103" s="46"/>
      <c r="AS103" s="23" t="s">
        <v>117</v>
      </c>
      <c r="AT103" s="45" t="s">
        <v>118</v>
      </c>
      <c r="AU103" s="23" t="s">
        <v>116</v>
      </c>
      <c r="AV103" s="45" t="s">
        <v>118</v>
      </c>
      <c r="AW103" s="23" t="s">
        <v>115</v>
      </c>
      <c r="AX103" s="45" t="s">
        <v>118</v>
      </c>
      <c r="AY103" s="23" t="s">
        <v>115</v>
      </c>
      <c r="AZ103" s="45" t="s">
        <v>118</v>
      </c>
      <c r="BA103" s="23" t="s">
        <v>115</v>
      </c>
      <c r="BB103" s="46"/>
      <c r="BC103" s="23" t="s">
        <v>115</v>
      </c>
      <c r="BD103" s="45" t="s">
        <v>118</v>
      </c>
      <c r="BE103" s="23" t="s">
        <v>115</v>
      </c>
      <c r="BF103" s="45" t="s">
        <v>118</v>
      </c>
      <c r="BG103" s="23" t="s">
        <v>115</v>
      </c>
      <c r="BH103" s="46"/>
      <c r="BI103" s="25" t="s">
        <v>117</v>
      </c>
      <c r="BJ103" s="46"/>
      <c r="BK103" s="25" t="s">
        <v>117</v>
      </c>
      <c r="BL103" s="46"/>
      <c r="BM103" s="25" t="s">
        <v>117</v>
      </c>
      <c r="BN103" s="46"/>
      <c r="BO103" s="25" t="s">
        <v>117</v>
      </c>
      <c r="BP103" s="46"/>
      <c r="BQ103" s="25" t="s">
        <v>117</v>
      </c>
      <c r="BR103" s="47">
        <v>10000</v>
      </c>
      <c r="BS103" s="25" t="s">
        <v>115</v>
      </c>
      <c r="BT103" s="46"/>
      <c r="BU103" s="25" t="s">
        <v>117</v>
      </c>
      <c r="BV103" s="46"/>
      <c r="BW103" s="25" t="s">
        <v>117</v>
      </c>
      <c r="BX103" s="46"/>
      <c r="BY103" s="25" t="s">
        <v>117</v>
      </c>
      <c r="BZ103" s="46"/>
      <c r="CA103" s="25" t="s">
        <v>117</v>
      </c>
      <c r="CB103" s="45" t="s">
        <v>159</v>
      </c>
      <c r="CC103" s="25" t="s">
        <v>116</v>
      </c>
      <c r="CD103" s="46"/>
      <c r="CE103" s="25" t="s">
        <v>117</v>
      </c>
      <c r="CF103" s="46"/>
      <c r="CG103" s="25" t="s">
        <v>117</v>
      </c>
      <c r="CH103" s="151">
        <v>5000</v>
      </c>
      <c r="CI103" s="25" t="s">
        <v>116</v>
      </c>
      <c r="CJ103" s="151">
        <v>2500</v>
      </c>
      <c r="CK103" s="48" t="s">
        <v>116</v>
      </c>
      <c r="CL103" s="46">
        <v>1500</v>
      </c>
      <c r="CM103" s="48" t="s">
        <v>116</v>
      </c>
      <c r="CN103" s="46">
        <v>1500</v>
      </c>
      <c r="CO103" s="25" t="s">
        <v>116</v>
      </c>
      <c r="CP103" s="30">
        <v>400</v>
      </c>
      <c r="CQ103" s="23" t="s">
        <v>115</v>
      </c>
      <c r="CR103" s="32"/>
      <c r="CS103" s="23" t="s">
        <v>117</v>
      </c>
      <c r="CT103" s="32"/>
      <c r="CU103" s="23" t="s">
        <v>117</v>
      </c>
      <c r="CV103" s="32"/>
      <c r="CW103" s="23" t="s">
        <v>117</v>
      </c>
      <c r="CX103" s="32"/>
      <c r="CY103" s="25" t="s">
        <v>117</v>
      </c>
      <c r="CZ103" s="32"/>
      <c r="DA103" s="25" t="s">
        <v>117</v>
      </c>
      <c r="DB103" s="33" t="s">
        <v>120</v>
      </c>
      <c r="DC103" s="25" t="s">
        <v>116</v>
      </c>
      <c r="DD103" s="34">
        <f t="shared" si="21"/>
        <v>1193</v>
      </c>
      <c r="DE103" t="s">
        <v>924</v>
      </c>
      <c r="DF103" t="str">
        <f t="shared" si="22"/>
        <v>Delaware#Fund#Delaware LP</v>
      </c>
      <c r="DG103" t="b">
        <f t="shared" si="23"/>
        <v>1</v>
      </c>
    </row>
    <row r="104" spans="1:111" ht="15" customHeight="1" x14ac:dyDescent="0.35">
      <c r="A104" s="35" t="s">
        <v>873</v>
      </c>
      <c r="B104" s="72" t="s">
        <v>874</v>
      </c>
      <c r="C104" s="35" t="s">
        <v>141</v>
      </c>
      <c r="D104" s="36" t="s">
        <v>925</v>
      </c>
      <c r="E104" s="35" t="s">
        <v>90</v>
      </c>
      <c r="F104" s="20" t="s">
        <v>513</v>
      </c>
      <c r="G104" s="20" t="s">
        <v>926</v>
      </c>
      <c r="H104" s="20" t="s">
        <v>145</v>
      </c>
      <c r="I104" s="20" t="s">
        <v>146</v>
      </c>
      <c r="J104" s="20" t="s">
        <v>879</v>
      </c>
      <c r="K104" s="20" t="s">
        <v>96</v>
      </c>
      <c r="L104" s="20" t="s">
        <v>97</v>
      </c>
      <c r="M104" s="20" t="s">
        <v>98</v>
      </c>
      <c r="N104" s="20" t="s">
        <v>147</v>
      </c>
      <c r="O104" s="20" t="s">
        <v>148</v>
      </c>
      <c r="P104" s="20" t="s">
        <v>149</v>
      </c>
      <c r="Q104" s="20" t="s">
        <v>150</v>
      </c>
      <c r="R104" s="20" t="s">
        <v>151</v>
      </c>
      <c r="S104" s="20" t="s">
        <v>152</v>
      </c>
      <c r="T104" s="20" t="s">
        <v>153</v>
      </c>
      <c r="U104" s="20" t="s">
        <v>154</v>
      </c>
      <c r="V104" s="21" t="s">
        <v>292</v>
      </c>
      <c r="W104" s="21" t="s">
        <v>108</v>
      </c>
      <c r="X104" s="21" t="s">
        <v>109</v>
      </c>
      <c r="Y104" s="21" t="s">
        <v>927</v>
      </c>
      <c r="Z104" s="21" t="s">
        <v>889</v>
      </c>
      <c r="AA104" s="21" t="s">
        <v>112</v>
      </c>
      <c r="AB104" s="21" t="s">
        <v>928</v>
      </c>
      <c r="AC104" s="21" t="s">
        <v>929</v>
      </c>
      <c r="AD104" s="38"/>
      <c r="AE104" s="23" t="s">
        <v>115</v>
      </c>
      <c r="AF104" s="38"/>
      <c r="AG104" s="23" t="s">
        <v>116</v>
      </c>
      <c r="AH104" s="38"/>
      <c r="AI104" s="25" t="s">
        <v>117</v>
      </c>
      <c r="AJ104" s="38"/>
      <c r="AK104" s="25" t="s">
        <v>117</v>
      </c>
      <c r="AL104" s="22">
        <v>0</v>
      </c>
      <c r="AM104" s="23" t="s">
        <v>115</v>
      </c>
      <c r="AN104" s="38"/>
      <c r="AO104" s="25" t="s">
        <v>117</v>
      </c>
      <c r="AP104" s="39" t="s">
        <v>118</v>
      </c>
      <c r="AQ104" s="23" t="s">
        <v>115</v>
      </c>
      <c r="AR104" s="40"/>
      <c r="AS104" s="23" t="s">
        <v>117</v>
      </c>
      <c r="AT104" s="39" t="s">
        <v>118</v>
      </c>
      <c r="AU104" s="23" t="s">
        <v>116</v>
      </c>
      <c r="AV104" s="39" t="s">
        <v>118</v>
      </c>
      <c r="AW104" s="23" t="s">
        <v>115</v>
      </c>
      <c r="AX104" s="39" t="s">
        <v>118</v>
      </c>
      <c r="AY104" s="23" t="s">
        <v>115</v>
      </c>
      <c r="AZ104" s="39" t="s">
        <v>118</v>
      </c>
      <c r="BA104" s="23" t="s">
        <v>115</v>
      </c>
      <c r="BB104" s="40"/>
      <c r="BC104" s="23" t="s">
        <v>115</v>
      </c>
      <c r="BD104" s="39" t="s">
        <v>118</v>
      </c>
      <c r="BE104" s="23" t="s">
        <v>115</v>
      </c>
      <c r="BF104" s="39" t="s">
        <v>118</v>
      </c>
      <c r="BG104" s="23" t="s">
        <v>115</v>
      </c>
      <c r="BH104" s="40"/>
      <c r="BI104" s="25" t="s">
        <v>117</v>
      </c>
      <c r="BJ104" s="40"/>
      <c r="BK104" s="25" t="s">
        <v>117</v>
      </c>
      <c r="BL104" s="40"/>
      <c r="BM104" s="25" t="s">
        <v>117</v>
      </c>
      <c r="BN104" s="40"/>
      <c r="BO104" s="25" t="s">
        <v>117</v>
      </c>
      <c r="BP104" s="40"/>
      <c r="BQ104" s="25" t="s">
        <v>117</v>
      </c>
      <c r="BR104" s="37">
        <v>10000</v>
      </c>
      <c r="BS104" s="25" t="s">
        <v>115</v>
      </c>
      <c r="BT104" s="40"/>
      <c r="BU104" s="25" t="s">
        <v>117</v>
      </c>
      <c r="BV104" s="40"/>
      <c r="BW104" s="25" t="s">
        <v>117</v>
      </c>
      <c r="BX104" s="40"/>
      <c r="BY104" s="25" t="s">
        <v>117</v>
      </c>
      <c r="BZ104" s="46"/>
      <c r="CA104" s="25" t="s">
        <v>117</v>
      </c>
      <c r="CB104" s="45" t="s">
        <v>159</v>
      </c>
      <c r="CC104" s="25" t="s">
        <v>116</v>
      </c>
      <c r="CD104" s="40"/>
      <c r="CE104" s="25" t="s">
        <v>117</v>
      </c>
      <c r="CF104" s="40"/>
      <c r="CG104" s="25" t="s">
        <v>117</v>
      </c>
      <c r="CH104" s="151">
        <v>5000</v>
      </c>
      <c r="CI104" s="25" t="s">
        <v>116</v>
      </c>
      <c r="CJ104" s="151">
        <v>2500</v>
      </c>
      <c r="CK104" s="48" t="s">
        <v>116</v>
      </c>
      <c r="CL104" s="46">
        <v>1500</v>
      </c>
      <c r="CM104" s="48" t="s">
        <v>116</v>
      </c>
      <c r="CN104" s="46">
        <v>1500</v>
      </c>
      <c r="CO104" s="25" t="s">
        <v>116</v>
      </c>
      <c r="CP104" s="30">
        <v>400</v>
      </c>
      <c r="CQ104" s="23" t="s">
        <v>115</v>
      </c>
      <c r="CR104" s="32"/>
      <c r="CS104" s="23" t="s">
        <v>117</v>
      </c>
      <c r="CT104" s="32"/>
      <c r="CU104" s="23" t="s">
        <v>117</v>
      </c>
      <c r="CV104" s="32"/>
      <c r="CW104" s="23" t="s">
        <v>117</v>
      </c>
      <c r="CX104" s="32"/>
      <c r="CY104" s="25" t="s">
        <v>117</v>
      </c>
      <c r="CZ104" s="32"/>
      <c r="DA104" s="25" t="s">
        <v>117</v>
      </c>
      <c r="DB104" s="33" t="s">
        <v>120</v>
      </c>
      <c r="DC104" s="25" t="s">
        <v>116</v>
      </c>
      <c r="DD104" s="34">
        <f t="shared" si="21"/>
        <v>1193</v>
      </c>
      <c r="DE104" t="s">
        <v>930</v>
      </c>
      <c r="DF104" t="str">
        <f t="shared" si="22"/>
        <v>Delaware#Fund#Delaware LLC</v>
      </c>
      <c r="DG104" t="b">
        <f t="shared" si="23"/>
        <v>1</v>
      </c>
    </row>
    <row r="105" spans="1:111" ht="78.75" customHeight="1" x14ac:dyDescent="0.35">
      <c r="A105" s="42" t="s">
        <v>873</v>
      </c>
      <c r="B105" s="72" t="s">
        <v>874</v>
      </c>
      <c r="C105" s="42" t="s">
        <v>141</v>
      </c>
      <c r="D105" s="43" t="s">
        <v>931</v>
      </c>
      <c r="E105" s="42" t="s">
        <v>90</v>
      </c>
      <c r="F105" s="20" t="s">
        <v>932</v>
      </c>
      <c r="G105" s="20" t="s">
        <v>933</v>
      </c>
      <c r="H105" s="20" t="s">
        <v>145</v>
      </c>
      <c r="I105" s="20" t="s">
        <v>146</v>
      </c>
      <c r="J105" s="20" t="s">
        <v>879</v>
      </c>
      <c r="K105" s="20" t="s">
        <v>96</v>
      </c>
      <c r="L105" s="20" t="s">
        <v>97</v>
      </c>
      <c r="M105" s="20" t="s">
        <v>98</v>
      </c>
      <c r="N105" s="20" t="s">
        <v>147</v>
      </c>
      <c r="O105" s="20" t="s">
        <v>148</v>
      </c>
      <c r="P105" s="20" t="s">
        <v>149</v>
      </c>
      <c r="Q105" s="20" t="s">
        <v>150</v>
      </c>
      <c r="R105" s="20" t="s">
        <v>151</v>
      </c>
      <c r="S105" s="20" t="s">
        <v>152</v>
      </c>
      <c r="T105" s="20" t="s">
        <v>153</v>
      </c>
      <c r="U105" s="20" t="s">
        <v>154</v>
      </c>
      <c r="V105" s="21" t="s">
        <v>155</v>
      </c>
      <c r="W105" s="21" t="s">
        <v>108</v>
      </c>
      <c r="X105" s="21" t="s">
        <v>109</v>
      </c>
      <c r="Y105" s="21" t="s">
        <v>934</v>
      </c>
      <c r="Z105" s="21" t="s">
        <v>889</v>
      </c>
      <c r="AA105" s="21" t="s">
        <v>935</v>
      </c>
      <c r="AB105" s="21" t="s">
        <v>936</v>
      </c>
      <c r="AC105" s="21" t="s">
        <v>937</v>
      </c>
      <c r="AD105" s="44"/>
      <c r="AE105" s="23" t="s">
        <v>115</v>
      </c>
      <c r="AF105" s="44"/>
      <c r="AG105" s="23" t="s">
        <v>116</v>
      </c>
      <c r="AH105" s="44"/>
      <c r="AI105" s="25" t="s">
        <v>117</v>
      </c>
      <c r="AJ105" s="44"/>
      <c r="AK105" s="25" t="s">
        <v>117</v>
      </c>
      <c r="AL105" s="22">
        <v>0</v>
      </c>
      <c r="AM105" s="23" t="s">
        <v>115</v>
      </c>
      <c r="AN105" s="44"/>
      <c r="AO105" s="25" t="s">
        <v>117</v>
      </c>
      <c r="AP105" s="45" t="s">
        <v>118</v>
      </c>
      <c r="AQ105" s="23" t="s">
        <v>115</v>
      </c>
      <c r="AR105" s="46"/>
      <c r="AS105" s="23" t="s">
        <v>117</v>
      </c>
      <c r="AT105" s="45" t="s">
        <v>118</v>
      </c>
      <c r="AU105" s="23" t="s">
        <v>116</v>
      </c>
      <c r="AV105" s="45" t="s">
        <v>118</v>
      </c>
      <c r="AW105" s="23" t="s">
        <v>115</v>
      </c>
      <c r="AX105" s="45" t="s">
        <v>118</v>
      </c>
      <c r="AY105" s="23" t="s">
        <v>115</v>
      </c>
      <c r="AZ105" s="45" t="s">
        <v>118</v>
      </c>
      <c r="BA105" s="23" t="s">
        <v>115</v>
      </c>
      <c r="BB105" s="46"/>
      <c r="BC105" s="23" t="s">
        <v>115</v>
      </c>
      <c r="BD105" s="45" t="s">
        <v>118</v>
      </c>
      <c r="BE105" s="23" t="s">
        <v>115</v>
      </c>
      <c r="BF105" s="45" t="s">
        <v>118</v>
      </c>
      <c r="BG105" s="23" t="s">
        <v>115</v>
      </c>
      <c r="BH105" s="46"/>
      <c r="BI105" s="25" t="s">
        <v>117</v>
      </c>
      <c r="BJ105" s="46"/>
      <c r="BK105" s="25" t="s">
        <v>117</v>
      </c>
      <c r="BL105" s="46"/>
      <c r="BM105" s="25" t="s">
        <v>117</v>
      </c>
      <c r="BN105" s="46"/>
      <c r="BO105" s="25" t="s">
        <v>117</v>
      </c>
      <c r="BP105" s="46"/>
      <c r="BQ105" s="25" t="s">
        <v>117</v>
      </c>
      <c r="BR105" s="47">
        <v>10000</v>
      </c>
      <c r="BS105" s="25" t="s">
        <v>115</v>
      </c>
      <c r="BT105" s="46"/>
      <c r="BU105" s="25" t="s">
        <v>117</v>
      </c>
      <c r="BV105" s="46"/>
      <c r="BW105" s="25" t="s">
        <v>117</v>
      </c>
      <c r="BX105" s="46"/>
      <c r="BY105" s="25" t="s">
        <v>117</v>
      </c>
      <c r="BZ105" s="46"/>
      <c r="CA105" s="25" t="s">
        <v>117</v>
      </c>
      <c r="CB105" s="45" t="s">
        <v>159</v>
      </c>
      <c r="CC105" s="25" t="s">
        <v>116</v>
      </c>
      <c r="CD105" s="46"/>
      <c r="CE105" s="25" t="s">
        <v>117</v>
      </c>
      <c r="CF105" s="46"/>
      <c r="CG105" s="25" t="s">
        <v>117</v>
      </c>
      <c r="CH105" s="151">
        <v>5000</v>
      </c>
      <c r="CI105" s="25" t="s">
        <v>116</v>
      </c>
      <c r="CJ105" s="151">
        <v>2500</v>
      </c>
      <c r="CK105" s="48" t="s">
        <v>116</v>
      </c>
      <c r="CL105" s="46">
        <v>1500</v>
      </c>
      <c r="CM105" s="48" t="s">
        <v>116</v>
      </c>
      <c r="CN105" s="46">
        <v>1500</v>
      </c>
      <c r="CO105" s="25" t="s">
        <v>116</v>
      </c>
      <c r="CP105" s="30">
        <v>400</v>
      </c>
      <c r="CQ105" s="23" t="s">
        <v>115</v>
      </c>
      <c r="CR105" s="32"/>
      <c r="CS105" s="23" t="s">
        <v>117</v>
      </c>
      <c r="CT105" s="32"/>
      <c r="CU105" s="23" t="s">
        <v>117</v>
      </c>
      <c r="CV105" s="32"/>
      <c r="CW105" s="23" t="s">
        <v>117</v>
      </c>
      <c r="CX105" s="32"/>
      <c r="CY105" s="25" t="s">
        <v>117</v>
      </c>
      <c r="CZ105" s="32"/>
      <c r="DA105" s="25" t="s">
        <v>117</v>
      </c>
      <c r="DB105" s="33" t="s">
        <v>120</v>
      </c>
      <c r="DC105" s="25" t="s">
        <v>116</v>
      </c>
      <c r="DD105" s="34">
        <f t="shared" si="21"/>
        <v>1193</v>
      </c>
      <c r="DE105" t="s">
        <v>938</v>
      </c>
      <c r="DF105" t="str">
        <f t="shared" si="22"/>
        <v>Delaware#Fund#Delaware DST</v>
      </c>
      <c r="DG105" t="b">
        <f t="shared" si="23"/>
        <v>1</v>
      </c>
    </row>
    <row r="106" spans="1:111" ht="78.75" customHeight="1" x14ac:dyDescent="0.35">
      <c r="A106" s="72" t="s">
        <v>873</v>
      </c>
      <c r="B106" s="72" t="s">
        <v>874</v>
      </c>
      <c r="C106" s="72" t="s">
        <v>141</v>
      </c>
      <c r="D106" s="73" t="s">
        <v>939</v>
      </c>
      <c r="E106" s="72" t="s">
        <v>90</v>
      </c>
      <c r="F106" s="20" t="s">
        <v>940</v>
      </c>
      <c r="G106" s="20" t="s">
        <v>941</v>
      </c>
      <c r="H106" s="20" t="s">
        <v>145</v>
      </c>
      <c r="I106" s="20" t="s">
        <v>146</v>
      </c>
      <c r="J106" s="20" t="s">
        <v>879</v>
      </c>
      <c r="K106" s="20" t="s">
        <v>96</v>
      </c>
      <c r="L106" s="20" t="s">
        <v>97</v>
      </c>
      <c r="M106" s="20" t="s">
        <v>98</v>
      </c>
      <c r="N106" s="20" t="s">
        <v>147</v>
      </c>
      <c r="O106" s="20" t="s">
        <v>148</v>
      </c>
      <c r="P106" s="20" t="s">
        <v>149</v>
      </c>
      <c r="Q106" s="20" t="s">
        <v>150</v>
      </c>
      <c r="R106" s="20" t="s">
        <v>151</v>
      </c>
      <c r="S106" s="20" t="s">
        <v>152</v>
      </c>
      <c r="T106" s="20" t="s">
        <v>153</v>
      </c>
      <c r="U106" s="20" t="s">
        <v>154</v>
      </c>
      <c r="V106" s="21" t="s">
        <v>267</v>
      </c>
      <c r="W106" s="21" t="s">
        <v>108</v>
      </c>
      <c r="X106" s="21" t="s">
        <v>109</v>
      </c>
      <c r="Y106" s="21" t="s">
        <v>942</v>
      </c>
      <c r="Z106" s="21" t="s">
        <v>889</v>
      </c>
      <c r="AA106" s="21" t="s">
        <v>112</v>
      </c>
      <c r="AB106" s="21" t="s">
        <v>943</v>
      </c>
      <c r="AC106" s="21" t="s">
        <v>944</v>
      </c>
      <c r="AD106" s="74"/>
      <c r="AE106" s="23" t="s">
        <v>115</v>
      </c>
      <c r="AF106" s="74"/>
      <c r="AG106" s="23" t="s">
        <v>116</v>
      </c>
      <c r="AH106" s="74"/>
      <c r="AI106" s="25" t="s">
        <v>117</v>
      </c>
      <c r="AJ106" s="74"/>
      <c r="AK106" s="25" t="s">
        <v>117</v>
      </c>
      <c r="AL106" s="22">
        <v>0</v>
      </c>
      <c r="AM106" s="23" t="s">
        <v>115</v>
      </c>
      <c r="AN106" s="74"/>
      <c r="AO106" s="25" t="s">
        <v>117</v>
      </c>
      <c r="AP106" s="58" t="s">
        <v>118</v>
      </c>
      <c r="AQ106" s="23" t="s">
        <v>115</v>
      </c>
      <c r="AR106" s="75"/>
      <c r="AS106" s="23" t="s">
        <v>117</v>
      </c>
      <c r="AT106" s="58" t="s">
        <v>118</v>
      </c>
      <c r="AU106" s="23" t="s">
        <v>116</v>
      </c>
      <c r="AV106" s="61"/>
      <c r="AW106" s="23" t="s">
        <v>115</v>
      </c>
      <c r="AX106" s="58" t="s">
        <v>118</v>
      </c>
      <c r="AY106" s="23" t="s">
        <v>115</v>
      </c>
      <c r="AZ106" s="61"/>
      <c r="BA106" s="23" t="s">
        <v>115</v>
      </c>
      <c r="BB106" s="74"/>
      <c r="BC106" s="23" t="s">
        <v>115</v>
      </c>
      <c r="BD106" s="61">
        <v>1700</v>
      </c>
      <c r="BE106" s="23" t="s">
        <v>115</v>
      </c>
      <c r="BF106" s="61">
        <v>1700</v>
      </c>
      <c r="BG106" s="23" t="s">
        <v>115</v>
      </c>
      <c r="BH106" s="74"/>
      <c r="BI106" s="25" t="s">
        <v>117</v>
      </c>
      <c r="BJ106" s="74"/>
      <c r="BK106" s="25" t="s">
        <v>117</v>
      </c>
      <c r="BL106" s="74"/>
      <c r="BM106" s="25" t="s">
        <v>117</v>
      </c>
      <c r="BN106" s="74"/>
      <c r="BO106" s="25" t="s">
        <v>117</v>
      </c>
      <c r="BP106" s="74"/>
      <c r="BQ106" s="25" t="s">
        <v>117</v>
      </c>
      <c r="BR106" s="61">
        <v>10000</v>
      </c>
      <c r="BS106" s="25" t="s">
        <v>115</v>
      </c>
      <c r="BT106" s="74"/>
      <c r="BU106" s="25" t="s">
        <v>117</v>
      </c>
      <c r="BV106" s="74"/>
      <c r="BW106" s="25" t="s">
        <v>117</v>
      </c>
      <c r="BX106" s="74"/>
      <c r="BY106" s="25" t="s">
        <v>117</v>
      </c>
      <c r="BZ106" s="46"/>
      <c r="CA106" s="25" t="s">
        <v>117</v>
      </c>
      <c r="CB106" s="45" t="s">
        <v>159</v>
      </c>
      <c r="CC106" s="25" t="s">
        <v>116</v>
      </c>
      <c r="CD106" s="74"/>
      <c r="CE106" s="25" t="s">
        <v>117</v>
      </c>
      <c r="CF106" s="74"/>
      <c r="CG106" s="25" t="s">
        <v>117</v>
      </c>
      <c r="CH106" s="151">
        <v>5000</v>
      </c>
      <c r="CI106" s="25" t="s">
        <v>116</v>
      </c>
      <c r="CJ106" s="151">
        <v>2500</v>
      </c>
      <c r="CK106" s="48" t="s">
        <v>116</v>
      </c>
      <c r="CL106" s="46">
        <v>1500</v>
      </c>
      <c r="CM106" s="48" t="s">
        <v>116</v>
      </c>
      <c r="CN106" s="46">
        <v>1500</v>
      </c>
      <c r="CO106" s="25" t="s">
        <v>116</v>
      </c>
      <c r="CP106" s="30">
        <v>400</v>
      </c>
      <c r="CQ106" s="23" t="s">
        <v>115</v>
      </c>
      <c r="CR106" s="32"/>
      <c r="CS106" s="23" t="s">
        <v>117</v>
      </c>
      <c r="CT106" s="32"/>
      <c r="CU106" s="23" t="s">
        <v>117</v>
      </c>
      <c r="CV106" s="32"/>
      <c r="CW106" s="23" t="s">
        <v>117</v>
      </c>
      <c r="CX106" s="32"/>
      <c r="CY106" s="25" t="s">
        <v>117</v>
      </c>
      <c r="CZ106" s="32"/>
      <c r="DA106" s="25" t="s">
        <v>117</v>
      </c>
      <c r="DB106" s="33" t="s">
        <v>120</v>
      </c>
      <c r="DC106" s="25" t="s">
        <v>116</v>
      </c>
      <c r="DD106" s="34">
        <f t="shared" si="21"/>
        <v>1193</v>
      </c>
      <c r="DE106" t="s">
        <v>945</v>
      </c>
      <c r="DF106" t="str">
        <f t="shared" si="22"/>
        <v>Delaware#Fund#Delaware C-Corp</v>
      </c>
      <c r="DG106" t="b">
        <f t="shared" si="23"/>
        <v>1</v>
      </c>
    </row>
    <row r="107" spans="1:111" ht="78.75" customHeight="1" x14ac:dyDescent="0.35">
      <c r="A107" s="42" t="s">
        <v>873</v>
      </c>
      <c r="B107" s="72" t="s">
        <v>874</v>
      </c>
      <c r="C107" s="42" t="s">
        <v>141</v>
      </c>
      <c r="D107" s="43" t="s">
        <v>946</v>
      </c>
      <c r="E107" s="42" t="s">
        <v>90</v>
      </c>
      <c r="F107" s="20" t="s">
        <v>947</v>
      </c>
      <c r="G107" s="20" t="s">
        <v>948</v>
      </c>
      <c r="H107" s="20" t="s">
        <v>145</v>
      </c>
      <c r="I107" s="20" t="s">
        <v>146</v>
      </c>
      <c r="J107" s="20" t="s">
        <v>879</v>
      </c>
      <c r="K107" s="20" t="s">
        <v>96</v>
      </c>
      <c r="L107" s="20" t="s">
        <v>97</v>
      </c>
      <c r="M107" s="20" t="s">
        <v>98</v>
      </c>
      <c r="N107" s="20" t="s">
        <v>147</v>
      </c>
      <c r="O107" s="20" t="s">
        <v>148</v>
      </c>
      <c r="P107" s="20" t="s">
        <v>149</v>
      </c>
      <c r="Q107" s="20" t="s">
        <v>150</v>
      </c>
      <c r="R107" s="20" t="s">
        <v>151</v>
      </c>
      <c r="S107" s="20" t="s">
        <v>152</v>
      </c>
      <c r="T107" s="20" t="s">
        <v>153</v>
      </c>
      <c r="U107" s="20" t="s">
        <v>154</v>
      </c>
      <c r="V107" s="21" t="s">
        <v>155</v>
      </c>
      <c r="W107" s="21" t="s">
        <v>108</v>
      </c>
      <c r="X107" s="21" t="s">
        <v>109</v>
      </c>
      <c r="Y107" s="21" t="s">
        <v>949</v>
      </c>
      <c r="Z107" s="21" t="s">
        <v>889</v>
      </c>
      <c r="AA107" s="21" t="s">
        <v>950</v>
      </c>
      <c r="AB107" s="21" t="s">
        <v>951</v>
      </c>
      <c r="AC107" s="21" t="s">
        <v>952</v>
      </c>
      <c r="AD107" s="44"/>
      <c r="AE107" s="23" t="s">
        <v>115</v>
      </c>
      <c r="AF107" s="44"/>
      <c r="AG107" s="23" t="s">
        <v>116</v>
      </c>
      <c r="AH107" s="44"/>
      <c r="AI107" s="25" t="s">
        <v>117</v>
      </c>
      <c r="AJ107" s="44"/>
      <c r="AK107" s="25" t="s">
        <v>117</v>
      </c>
      <c r="AL107" s="22">
        <v>0</v>
      </c>
      <c r="AM107" s="23" t="s">
        <v>115</v>
      </c>
      <c r="AN107" s="44"/>
      <c r="AO107" s="25" t="s">
        <v>117</v>
      </c>
      <c r="AP107" s="45" t="s">
        <v>118</v>
      </c>
      <c r="AQ107" s="23" t="s">
        <v>115</v>
      </c>
      <c r="AR107" s="46"/>
      <c r="AS107" s="23" t="s">
        <v>117</v>
      </c>
      <c r="AT107" s="45" t="s">
        <v>118</v>
      </c>
      <c r="AU107" s="23" t="s">
        <v>116</v>
      </c>
      <c r="AV107" s="45" t="s">
        <v>118</v>
      </c>
      <c r="AW107" s="23" t="s">
        <v>115</v>
      </c>
      <c r="AX107" s="45" t="s">
        <v>118</v>
      </c>
      <c r="AY107" s="23" t="s">
        <v>115</v>
      </c>
      <c r="AZ107" s="45" t="s">
        <v>118</v>
      </c>
      <c r="BA107" s="23" t="s">
        <v>115</v>
      </c>
      <c r="BB107" s="46"/>
      <c r="BC107" s="23" t="s">
        <v>115</v>
      </c>
      <c r="BD107" s="45" t="s">
        <v>118</v>
      </c>
      <c r="BE107" s="23" t="s">
        <v>115</v>
      </c>
      <c r="BF107" s="45" t="s">
        <v>118</v>
      </c>
      <c r="BG107" s="23" t="s">
        <v>115</v>
      </c>
      <c r="BH107" s="46"/>
      <c r="BI107" s="25" t="s">
        <v>117</v>
      </c>
      <c r="BJ107" s="46"/>
      <c r="BK107" s="25" t="s">
        <v>117</v>
      </c>
      <c r="BL107" s="46"/>
      <c r="BM107" s="25" t="s">
        <v>117</v>
      </c>
      <c r="BN107" s="46"/>
      <c r="BO107" s="25" t="s">
        <v>117</v>
      </c>
      <c r="BP107" s="46"/>
      <c r="BQ107" s="25" t="s">
        <v>117</v>
      </c>
      <c r="BR107" s="47">
        <v>10000</v>
      </c>
      <c r="BS107" s="25" t="s">
        <v>115</v>
      </c>
      <c r="BT107" s="46"/>
      <c r="BU107" s="25" t="s">
        <v>117</v>
      </c>
      <c r="BV107" s="46"/>
      <c r="BW107" s="25" t="s">
        <v>117</v>
      </c>
      <c r="BX107" s="46"/>
      <c r="BY107" s="25" t="s">
        <v>117</v>
      </c>
      <c r="BZ107" s="46"/>
      <c r="CA107" s="25" t="s">
        <v>117</v>
      </c>
      <c r="CB107" s="45" t="s">
        <v>159</v>
      </c>
      <c r="CC107" s="25" t="s">
        <v>116</v>
      </c>
      <c r="CD107" s="46"/>
      <c r="CE107" s="25" t="s">
        <v>117</v>
      </c>
      <c r="CF107" s="46"/>
      <c r="CG107" s="25" t="s">
        <v>117</v>
      </c>
      <c r="CH107" s="151">
        <v>5000</v>
      </c>
      <c r="CI107" s="25" t="s">
        <v>116</v>
      </c>
      <c r="CJ107" s="151">
        <v>2500</v>
      </c>
      <c r="CK107" s="48" t="s">
        <v>116</v>
      </c>
      <c r="CL107" s="46">
        <v>1500</v>
      </c>
      <c r="CM107" s="48" t="s">
        <v>116</v>
      </c>
      <c r="CN107" s="46">
        <v>1500</v>
      </c>
      <c r="CO107" s="25" t="s">
        <v>116</v>
      </c>
      <c r="CP107" s="30">
        <v>400</v>
      </c>
      <c r="CQ107" s="23" t="s">
        <v>115</v>
      </c>
      <c r="CR107" s="32"/>
      <c r="CS107" s="23" t="s">
        <v>117</v>
      </c>
      <c r="CT107" s="32"/>
      <c r="CU107" s="23" t="s">
        <v>117</v>
      </c>
      <c r="CV107" s="32"/>
      <c r="CW107" s="23" t="s">
        <v>117</v>
      </c>
      <c r="CX107" s="32"/>
      <c r="CY107" s="25" t="s">
        <v>117</v>
      </c>
      <c r="CZ107" s="32"/>
      <c r="DA107" s="25" t="s">
        <v>117</v>
      </c>
      <c r="DB107" s="33" t="s">
        <v>120</v>
      </c>
      <c r="DC107" s="25" t="s">
        <v>116</v>
      </c>
      <c r="DD107" s="34">
        <f t="shared" si="21"/>
        <v>1193</v>
      </c>
      <c r="DE107" t="s">
        <v>953</v>
      </c>
      <c r="DF107" t="str">
        <f t="shared" si="22"/>
        <v>Delaware#Fund#Delaware S-Corp</v>
      </c>
      <c r="DG107" t="b">
        <f t="shared" si="23"/>
        <v>1</v>
      </c>
    </row>
    <row r="108" spans="1:111" ht="78.75" customHeight="1" x14ac:dyDescent="0.35">
      <c r="A108" s="35" t="s">
        <v>873</v>
      </c>
      <c r="B108" s="72" t="s">
        <v>874</v>
      </c>
      <c r="C108" s="35" t="s">
        <v>141</v>
      </c>
      <c r="D108" s="36" t="s">
        <v>954</v>
      </c>
      <c r="E108" s="35" t="s">
        <v>90</v>
      </c>
      <c r="F108" s="20" t="s">
        <v>955</v>
      </c>
      <c r="G108" s="20" t="s">
        <v>956</v>
      </c>
      <c r="H108" s="20" t="s">
        <v>145</v>
      </c>
      <c r="I108" s="20" t="s">
        <v>146</v>
      </c>
      <c r="J108" s="20" t="s">
        <v>879</v>
      </c>
      <c r="K108" s="20" t="s">
        <v>96</v>
      </c>
      <c r="L108" s="20" t="s">
        <v>97</v>
      </c>
      <c r="M108" s="20" t="s">
        <v>98</v>
      </c>
      <c r="N108" s="20" t="s">
        <v>147</v>
      </c>
      <c r="O108" s="20" t="s">
        <v>148</v>
      </c>
      <c r="P108" s="20" t="s">
        <v>149</v>
      </c>
      <c r="Q108" s="20" t="s">
        <v>150</v>
      </c>
      <c r="R108" s="20" t="s">
        <v>151</v>
      </c>
      <c r="S108" s="20" t="s">
        <v>152</v>
      </c>
      <c r="T108" s="20" t="s">
        <v>153</v>
      </c>
      <c r="U108" s="20" t="s">
        <v>154</v>
      </c>
      <c r="V108" s="21" t="s">
        <v>155</v>
      </c>
      <c r="W108" s="21" t="s">
        <v>108</v>
      </c>
      <c r="X108" s="21" t="s">
        <v>957</v>
      </c>
      <c r="Y108" s="21" t="s">
        <v>958</v>
      </c>
      <c r="Z108" s="21" t="s">
        <v>889</v>
      </c>
      <c r="AA108" s="21" t="s">
        <v>112</v>
      </c>
      <c r="AB108" s="21" t="s">
        <v>959</v>
      </c>
      <c r="AC108" s="21" t="s">
        <v>960</v>
      </c>
      <c r="AD108" s="38"/>
      <c r="AE108" s="23" t="s">
        <v>115</v>
      </c>
      <c r="AF108" s="38"/>
      <c r="AG108" s="23" t="s">
        <v>116</v>
      </c>
      <c r="AH108" s="38"/>
      <c r="AI108" s="25" t="s">
        <v>117</v>
      </c>
      <c r="AJ108" s="38"/>
      <c r="AK108" s="25" t="s">
        <v>117</v>
      </c>
      <c r="AL108" s="22">
        <v>0</v>
      </c>
      <c r="AM108" s="23" t="s">
        <v>115</v>
      </c>
      <c r="AN108" s="38"/>
      <c r="AO108" s="25" t="s">
        <v>117</v>
      </c>
      <c r="AP108" s="39" t="s">
        <v>118</v>
      </c>
      <c r="AQ108" s="23" t="s">
        <v>115</v>
      </c>
      <c r="AR108" s="40"/>
      <c r="AS108" s="23" t="s">
        <v>117</v>
      </c>
      <c r="AT108" s="39" t="s">
        <v>118</v>
      </c>
      <c r="AU108" s="23" t="s">
        <v>116</v>
      </c>
      <c r="AV108" s="39" t="s">
        <v>118</v>
      </c>
      <c r="AW108" s="23" t="s">
        <v>115</v>
      </c>
      <c r="AX108" s="39" t="s">
        <v>118</v>
      </c>
      <c r="AY108" s="23" t="s">
        <v>115</v>
      </c>
      <c r="AZ108" s="39" t="s">
        <v>118</v>
      </c>
      <c r="BA108" s="23" t="s">
        <v>115</v>
      </c>
      <c r="BB108" s="40"/>
      <c r="BC108" s="23" t="s">
        <v>115</v>
      </c>
      <c r="BD108" s="39" t="s">
        <v>118</v>
      </c>
      <c r="BE108" s="23" t="s">
        <v>115</v>
      </c>
      <c r="BF108" s="39" t="s">
        <v>118</v>
      </c>
      <c r="BG108" s="23" t="s">
        <v>115</v>
      </c>
      <c r="BH108" s="40"/>
      <c r="BI108" s="25" t="s">
        <v>117</v>
      </c>
      <c r="BJ108" s="40"/>
      <c r="BK108" s="25" t="s">
        <v>117</v>
      </c>
      <c r="BL108" s="40"/>
      <c r="BM108" s="25" t="s">
        <v>117</v>
      </c>
      <c r="BN108" s="40"/>
      <c r="BO108" s="25" t="s">
        <v>117</v>
      </c>
      <c r="BP108" s="40"/>
      <c r="BQ108" s="25" t="s">
        <v>117</v>
      </c>
      <c r="BR108" s="37">
        <v>10000</v>
      </c>
      <c r="BS108" s="25" t="s">
        <v>115</v>
      </c>
      <c r="BT108" s="40"/>
      <c r="BU108" s="25" t="s">
        <v>117</v>
      </c>
      <c r="BV108" s="40"/>
      <c r="BW108" s="25" t="s">
        <v>117</v>
      </c>
      <c r="BX108" s="40"/>
      <c r="BY108" s="25" t="s">
        <v>117</v>
      </c>
      <c r="BZ108" s="46"/>
      <c r="CA108" s="25" t="s">
        <v>117</v>
      </c>
      <c r="CB108" s="45" t="s">
        <v>159</v>
      </c>
      <c r="CC108" s="25" t="s">
        <v>116</v>
      </c>
      <c r="CD108" s="40"/>
      <c r="CE108" s="25" t="s">
        <v>117</v>
      </c>
      <c r="CF108" s="40"/>
      <c r="CG108" s="25" t="s">
        <v>117</v>
      </c>
      <c r="CH108" s="151">
        <v>5000</v>
      </c>
      <c r="CI108" s="25" t="s">
        <v>116</v>
      </c>
      <c r="CJ108" s="151">
        <v>2500</v>
      </c>
      <c r="CK108" s="48" t="s">
        <v>116</v>
      </c>
      <c r="CL108" s="46">
        <v>1500</v>
      </c>
      <c r="CM108" s="48" t="s">
        <v>116</v>
      </c>
      <c r="CN108" s="46">
        <v>1500</v>
      </c>
      <c r="CO108" s="25" t="s">
        <v>116</v>
      </c>
      <c r="CP108" s="30">
        <v>400</v>
      </c>
      <c r="CQ108" s="23" t="s">
        <v>115</v>
      </c>
      <c r="CR108" s="32"/>
      <c r="CS108" s="23" t="s">
        <v>117</v>
      </c>
      <c r="CT108" s="32"/>
      <c r="CU108" s="23" t="s">
        <v>117</v>
      </c>
      <c r="CV108" s="32"/>
      <c r="CW108" s="23" t="s">
        <v>117</v>
      </c>
      <c r="CX108" s="32"/>
      <c r="CY108" s="25" t="s">
        <v>117</v>
      </c>
      <c r="CZ108" s="32"/>
      <c r="DA108" s="25" t="s">
        <v>117</v>
      </c>
      <c r="DB108" s="33" t="s">
        <v>120</v>
      </c>
      <c r="DC108" s="25" t="s">
        <v>116</v>
      </c>
      <c r="DD108" s="34">
        <f t="shared" si="21"/>
        <v>1193</v>
      </c>
      <c r="DE108" t="s">
        <v>961</v>
      </c>
      <c r="DF108" t="str">
        <f t="shared" si="22"/>
        <v>Delaware#Fund#Delaware Series LLC</v>
      </c>
      <c r="DG108" t="b">
        <f t="shared" si="23"/>
        <v>1</v>
      </c>
    </row>
    <row r="109" spans="1:111" ht="78.75" hidden="1" customHeight="1" x14ac:dyDescent="0.35">
      <c r="A109" s="184" t="s">
        <v>962</v>
      </c>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c r="AA109" s="184"/>
      <c r="AB109" s="184"/>
      <c r="AC109" s="184"/>
      <c r="AD109" s="184"/>
      <c r="AE109" s="184"/>
      <c r="AF109" s="184"/>
      <c r="AG109" s="184"/>
      <c r="AH109" s="184"/>
      <c r="AI109" s="184"/>
      <c r="AJ109" s="184"/>
      <c r="AK109" s="184"/>
      <c r="AL109" s="184"/>
      <c r="AM109" s="184"/>
      <c r="AN109" s="184"/>
      <c r="AO109" s="184"/>
      <c r="AP109" s="184"/>
      <c r="AQ109" s="184"/>
      <c r="AR109" s="184"/>
      <c r="AS109" s="184"/>
      <c r="AT109" s="184"/>
      <c r="AU109" s="184"/>
      <c r="AV109" s="184"/>
      <c r="AW109" s="184"/>
      <c r="AX109" s="184"/>
      <c r="AY109" s="184"/>
      <c r="AZ109" s="184"/>
      <c r="BA109" s="184"/>
      <c r="BB109" s="184"/>
      <c r="BC109" s="184"/>
      <c r="BD109" s="184"/>
      <c r="BE109" s="184"/>
      <c r="BF109" s="184"/>
      <c r="BG109" s="184"/>
      <c r="BH109" s="184"/>
      <c r="BI109" s="184"/>
      <c r="BJ109" s="184"/>
      <c r="BK109" s="184"/>
      <c r="BL109" s="184"/>
      <c r="BM109" s="184"/>
      <c r="BN109" s="184"/>
      <c r="BO109" s="184"/>
      <c r="BP109" s="184"/>
      <c r="BQ109" s="184"/>
      <c r="BR109" s="184"/>
      <c r="BS109" s="184"/>
      <c r="BT109" s="184"/>
      <c r="BU109" s="184"/>
      <c r="BV109" s="184"/>
      <c r="BW109" s="184"/>
      <c r="BX109" s="184"/>
      <c r="BY109" s="184"/>
      <c r="BZ109" s="184"/>
      <c r="CA109" s="184"/>
      <c r="CB109" s="184"/>
      <c r="CC109" s="184"/>
      <c r="CD109" s="184"/>
      <c r="CE109" s="184"/>
      <c r="CF109" s="184"/>
      <c r="CG109" s="184"/>
      <c r="CH109" s="184"/>
      <c r="CI109" s="184"/>
      <c r="CJ109" s="184"/>
      <c r="CK109" s="184"/>
      <c r="CL109" s="184"/>
      <c r="CM109" s="184"/>
      <c r="CN109" s="184"/>
      <c r="CO109" s="184"/>
      <c r="CP109" s="184"/>
      <c r="CQ109" s="184"/>
      <c r="CR109" s="184"/>
      <c r="CS109" s="184"/>
      <c r="CT109" s="184"/>
      <c r="CU109" s="184"/>
      <c r="CV109" s="184"/>
      <c r="CW109" s="184"/>
      <c r="CX109" s="184"/>
      <c r="CY109" s="184"/>
      <c r="CZ109" s="184"/>
      <c r="DA109" s="184"/>
      <c r="DB109" s="184"/>
      <c r="DC109" s="184"/>
      <c r="DE109" t="s">
        <v>85</v>
      </c>
      <c r="DF109" t="str">
        <f>A104&amp;"#"&amp;C104&amp;"#"&amp;D104</f>
        <v>Delaware#Fund#Delaware LLC</v>
      </c>
    </row>
    <row r="110" spans="1:111" ht="78.75" hidden="1" customHeight="1" x14ac:dyDescent="0.35">
      <c r="A110" s="35" t="s">
        <v>963</v>
      </c>
      <c r="B110" s="18" t="s">
        <v>964</v>
      </c>
      <c r="C110" s="35" t="s">
        <v>88</v>
      </c>
      <c r="D110" s="36" t="s">
        <v>965</v>
      </c>
      <c r="E110" s="35" t="s">
        <v>90</v>
      </c>
      <c r="F110" s="20" t="s">
        <v>966</v>
      </c>
      <c r="G110" s="20" t="s">
        <v>967</v>
      </c>
      <c r="H110" s="20" t="s">
        <v>93</v>
      </c>
      <c r="I110" s="20" t="s">
        <v>94</v>
      </c>
      <c r="J110" s="20" t="s">
        <v>968</v>
      </c>
      <c r="K110" s="20" t="s">
        <v>96</v>
      </c>
      <c r="L110" s="20" t="s">
        <v>97</v>
      </c>
      <c r="M110" s="20" t="s">
        <v>98</v>
      </c>
      <c r="N110" s="20" t="s">
        <v>969</v>
      </c>
      <c r="O110" s="20" t="s">
        <v>100</v>
      </c>
      <c r="P110" s="20" t="s">
        <v>101</v>
      </c>
      <c r="Q110" s="20" t="s">
        <v>102</v>
      </c>
      <c r="R110" s="20" t="s">
        <v>103</v>
      </c>
      <c r="S110" s="20" t="s">
        <v>104</v>
      </c>
      <c r="T110" s="20" t="s">
        <v>105</v>
      </c>
      <c r="U110" s="20" t="s">
        <v>106</v>
      </c>
      <c r="V110" s="21" t="s">
        <v>243</v>
      </c>
      <c r="W110" s="21" t="s">
        <v>229</v>
      </c>
      <c r="X110" s="21" t="s">
        <v>109</v>
      </c>
      <c r="Y110" s="21" t="s">
        <v>970</v>
      </c>
      <c r="Z110" s="21" t="s">
        <v>971</v>
      </c>
      <c r="AA110" s="21" t="s">
        <v>112</v>
      </c>
      <c r="AB110" s="21" t="s">
        <v>972</v>
      </c>
      <c r="AC110" s="21" t="s">
        <v>973</v>
      </c>
      <c r="AD110" s="37">
        <v>5500</v>
      </c>
      <c r="AE110" s="23" t="s">
        <v>115</v>
      </c>
      <c r="AF110" s="38"/>
      <c r="AG110" s="23" t="s">
        <v>116</v>
      </c>
      <c r="AH110" s="38"/>
      <c r="AI110" s="25" t="s">
        <v>117</v>
      </c>
      <c r="AJ110" s="38"/>
      <c r="AK110" s="25" t="s">
        <v>117</v>
      </c>
      <c r="AL110" s="22">
        <v>0</v>
      </c>
      <c r="AM110" s="23" t="s">
        <v>115</v>
      </c>
      <c r="AN110" s="38"/>
      <c r="AO110" s="25" t="s">
        <v>117</v>
      </c>
      <c r="AP110" s="37">
        <v>4500</v>
      </c>
      <c r="AQ110" s="23" t="s">
        <v>115</v>
      </c>
      <c r="AR110" s="38"/>
      <c r="AS110" s="23" t="s">
        <v>117</v>
      </c>
      <c r="AT110" s="39" t="s">
        <v>118</v>
      </c>
      <c r="AU110" s="23" t="s">
        <v>116</v>
      </c>
      <c r="AV110" s="39" t="s">
        <v>118</v>
      </c>
      <c r="AW110" s="23" t="s">
        <v>115</v>
      </c>
      <c r="AX110" s="39" t="s">
        <v>118</v>
      </c>
      <c r="AY110" s="23" t="s">
        <v>115</v>
      </c>
      <c r="AZ110" s="39" t="s">
        <v>118</v>
      </c>
      <c r="BA110" s="23" t="s">
        <v>115</v>
      </c>
      <c r="BB110" s="40"/>
      <c r="BC110" s="23" t="s">
        <v>115</v>
      </c>
      <c r="BD110" s="39" t="s">
        <v>118</v>
      </c>
      <c r="BE110" s="23" t="s">
        <v>115</v>
      </c>
      <c r="BF110" s="39" t="s">
        <v>118</v>
      </c>
      <c r="BG110" s="23" t="s">
        <v>115</v>
      </c>
      <c r="BH110" s="40"/>
      <c r="BI110" s="25" t="s">
        <v>117</v>
      </c>
      <c r="BJ110" s="40"/>
      <c r="BK110" s="25" t="s">
        <v>117</v>
      </c>
      <c r="BL110" s="40"/>
      <c r="BM110" s="25" t="s">
        <v>117</v>
      </c>
      <c r="BN110" s="40"/>
      <c r="BO110" s="25" t="s">
        <v>117</v>
      </c>
      <c r="BP110" s="40"/>
      <c r="BQ110" s="25" t="s">
        <v>117</v>
      </c>
      <c r="BR110" s="40"/>
      <c r="BS110" s="25" t="s">
        <v>117</v>
      </c>
      <c r="BT110" s="40"/>
      <c r="BU110" s="25" t="s">
        <v>117</v>
      </c>
      <c r="BV110" s="40"/>
      <c r="BW110" s="25" t="s">
        <v>117</v>
      </c>
      <c r="BX110" s="40"/>
      <c r="BY110" s="25" t="s">
        <v>117</v>
      </c>
      <c r="BZ110" s="40"/>
      <c r="CA110" s="25" t="s">
        <v>117</v>
      </c>
      <c r="CB110" s="40"/>
      <c r="CC110" s="25" t="s">
        <v>117</v>
      </c>
      <c r="CD110" s="40"/>
      <c r="CE110" s="25" t="s">
        <v>117</v>
      </c>
      <c r="CF110" s="40"/>
      <c r="CG110" s="25" t="s">
        <v>117</v>
      </c>
      <c r="CH110" s="40"/>
      <c r="CI110" s="25"/>
      <c r="CJ110" s="40"/>
      <c r="CK110" s="41" t="s">
        <v>117</v>
      </c>
      <c r="CL110" s="40"/>
      <c r="CM110" s="41" t="s">
        <v>117</v>
      </c>
      <c r="CN110" s="40"/>
      <c r="CO110" s="25" t="s">
        <v>117</v>
      </c>
      <c r="CP110" s="30">
        <v>400</v>
      </c>
      <c r="CQ110" s="23" t="s">
        <v>115</v>
      </c>
      <c r="CR110" s="32"/>
      <c r="CS110" s="23" t="s">
        <v>117</v>
      </c>
      <c r="CT110" s="32"/>
      <c r="CU110" s="23" t="s">
        <v>117</v>
      </c>
      <c r="CV110" s="32"/>
      <c r="CW110" s="23" t="s">
        <v>117</v>
      </c>
      <c r="CX110" s="32"/>
      <c r="CY110" s="25" t="s">
        <v>117</v>
      </c>
      <c r="CZ110" s="32"/>
      <c r="DA110" s="25" t="s">
        <v>117</v>
      </c>
      <c r="DB110" s="33" t="s">
        <v>120</v>
      </c>
      <c r="DC110" s="25" t="s">
        <v>116</v>
      </c>
      <c r="DD110" s="34">
        <f t="shared" ref="DD110:DD116" si="24">ROUND(0.075*SUM(AD110,AF110,AH110,AJ110,AL110,AN110,AP110,AR110,AT110,AV110,AX110,AZ110,BB110,BR110,BT110,BV110,BX110,BZ110,CB110,CD110,CF110,CJ110,CL110,CN110,CP110,CR110,CT110,CV110,CX110,CZ110),0)</f>
        <v>780</v>
      </c>
      <c r="DE110" t="s">
        <v>974</v>
      </c>
      <c r="DF110" t="str">
        <f t="shared" ref="DF110:DF116" si="25">A110&amp;"#"&amp;C110&amp;"#"&amp;D110</f>
        <v>Dubai#Company#Dubai DIFC Innovation Company</v>
      </c>
      <c r="DG110" t="b">
        <f t="shared" ref="DG110:DG116" si="26">DE110=DF110</f>
        <v>1</v>
      </c>
    </row>
    <row r="111" spans="1:111" ht="78.75" hidden="1" customHeight="1" x14ac:dyDescent="0.35">
      <c r="A111" s="18" t="s">
        <v>963</v>
      </c>
      <c r="B111" s="18" t="s">
        <v>964</v>
      </c>
      <c r="C111" s="18" t="s">
        <v>88</v>
      </c>
      <c r="D111" s="19" t="s">
        <v>975</v>
      </c>
      <c r="E111" s="18" t="s">
        <v>90</v>
      </c>
      <c r="F111" s="20" t="s">
        <v>976</v>
      </c>
      <c r="G111" s="20" t="s">
        <v>977</v>
      </c>
      <c r="H111" s="20" t="s">
        <v>93</v>
      </c>
      <c r="I111" s="20" t="s">
        <v>94</v>
      </c>
      <c r="J111" s="20" t="s">
        <v>968</v>
      </c>
      <c r="K111" s="20" t="s">
        <v>96</v>
      </c>
      <c r="L111" s="20" t="s">
        <v>97</v>
      </c>
      <c r="M111" s="20" t="s">
        <v>98</v>
      </c>
      <c r="N111" s="20" t="s">
        <v>969</v>
      </c>
      <c r="O111" s="20" t="s">
        <v>100</v>
      </c>
      <c r="P111" s="20" t="s">
        <v>101</v>
      </c>
      <c r="Q111" s="20" t="s">
        <v>102</v>
      </c>
      <c r="R111" s="20" t="s">
        <v>103</v>
      </c>
      <c r="S111" s="20" t="s">
        <v>104</v>
      </c>
      <c r="T111" s="20" t="s">
        <v>105</v>
      </c>
      <c r="U111" s="20" t="s">
        <v>106</v>
      </c>
      <c r="V111" s="21" t="s">
        <v>228</v>
      </c>
      <c r="W111" s="21" t="s">
        <v>229</v>
      </c>
      <c r="X111" s="21" t="s">
        <v>109</v>
      </c>
      <c r="Y111" s="21" t="s">
        <v>978</v>
      </c>
      <c r="Z111" s="21" t="s">
        <v>256</v>
      </c>
      <c r="AA111" s="21" t="s">
        <v>112</v>
      </c>
      <c r="AB111" s="21" t="s">
        <v>979</v>
      </c>
      <c r="AC111" s="21" t="s">
        <v>980</v>
      </c>
      <c r="AD111" s="26">
        <v>3500</v>
      </c>
      <c r="AE111" s="23" t="s">
        <v>115</v>
      </c>
      <c r="AF111" s="24"/>
      <c r="AG111" s="23" t="s">
        <v>116</v>
      </c>
      <c r="AH111" s="26">
        <v>500</v>
      </c>
      <c r="AI111" s="25" t="s">
        <v>116</v>
      </c>
      <c r="AJ111" s="24"/>
      <c r="AK111" s="25" t="s">
        <v>117</v>
      </c>
      <c r="AL111" s="22">
        <v>0</v>
      </c>
      <c r="AM111" s="23" t="s">
        <v>115</v>
      </c>
      <c r="AN111" s="24"/>
      <c r="AO111" s="25" t="s">
        <v>117</v>
      </c>
      <c r="AP111" s="37">
        <v>4500</v>
      </c>
      <c r="AQ111" s="23" t="s">
        <v>115</v>
      </c>
      <c r="AR111" s="28"/>
      <c r="AS111" s="23" t="s">
        <v>117</v>
      </c>
      <c r="AT111" s="27" t="s">
        <v>118</v>
      </c>
      <c r="AU111" s="23" t="s">
        <v>116</v>
      </c>
      <c r="AV111" s="22">
        <v>1800</v>
      </c>
      <c r="AW111" s="23" t="s">
        <v>115</v>
      </c>
      <c r="AX111" s="22">
        <v>2000</v>
      </c>
      <c r="AY111" s="23" t="s">
        <v>115</v>
      </c>
      <c r="AZ111" s="26">
        <v>1100</v>
      </c>
      <c r="BA111" s="23" t="s">
        <v>115</v>
      </c>
      <c r="BB111" s="24"/>
      <c r="BC111" s="23" t="s">
        <v>115</v>
      </c>
      <c r="BD111" s="26">
        <v>1500</v>
      </c>
      <c r="BE111" s="23" t="s">
        <v>115</v>
      </c>
      <c r="BF111" s="27" t="s">
        <v>118</v>
      </c>
      <c r="BG111" s="23" t="s">
        <v>115</v>
      </c>
      <c r="BH111" s="28"/>
      <c r="BI111" s="25" t="s">
        <v>117</v>
      </c>
      <c r="BJ111" s="28"/>
      <c r="BK111" s="25" t="s">
        <v>117</v>
      </c>
      <c r="BL111" s="26">
        <v>1500</v>
      </c>
      <c r="BM111" s="25" t="s">
        <v>116</v>
      </c>
      <c r="BN111" s="28"/>
      <c r="BO111" s="25" t="s">
        <v>117</v>
      </c>
      <c r="BP111" s="28"/>
      <c r="BQ111" s="25" t="s">
        <v>117</v>
      </c>
      <c r="BR111" s="28"/>
      <c r="BS111" s="25" t="s">
        <v>117</v>
      </c>
      <c r="BT111" s="28"/>
      <c r="BU111" s="25" t="s">
        <v>117</v>
      </c>
      <c r="BV111" s="28"/>
      <c r="BW111" s="25" t="s">
        <v>117</v>
      </c>
      <c r="BX111" s="28"/>
      <c r="BY111" s="25" t="s">
        <v>117</v>
      </c>
      <c r="BZ111" s="28"/>
      <c r="CA111" s="25" t="s">
        <v>117</v>
      </c>
      <c r="CB111" s="28"/>
      <c r="CC111" s="25" t="s">
        <v>117</v>
      </c>
      <c r="CD111" s="28"/>
      <c r="CE111" s="25" t="s">
        <v>117</v>
      </c>
      <c r="CF111" s="28"/>
      <c r="CG111" s="25" t="s">
        <v>117</v>
      </c>
      <c r="CH111" s="28"/>
      <c r="CI111" s="25"/>
      <c r="CJ111" s="28"/>
      <c r="CK111" s="29" t="s">
        <v>117</v>
      </c>
      <c r="CL111" s="28"/>
      <c r="CM111" s="29" t="s">
        <v>117</v>
      </c>
      <c r="CN111" s="28"/>
      <c r="CO111" s="25" t="s">
        <v>117</v>
      </c>
      <c r="CP111" s="30">
        <v>400</v>
      </c>
      <c r="CQ111" s="23" t="s">
        <v>115</v>
      </c>
      <c r="CR111" s="32"/>
      <c r="CS111" s="23" t="s">
        <v>117</v>
      </c>
      <c r="CT111" s="32"/>
      <c r="CU111" s="23" t="s">
        <v>117</v>
      </c>
      <c r="CV111" s="32"/>
      <c r="CW111" s="23" t="s">
        <v>117</v>
      </c>
      <c r="CX111" s="32"/>
      <c r="CY111" s="25" t="s">
        <v>117</v>
      </c>
      <c r="CZ111" s="32"/>
      <c r="DA111" s="25" t="s">
        <v>117</v>
      </c>
      <c r="DB111" s="33" t="s">
        <v>981</v>
      </c>
      <c r="DC111" s="25" t="s">
        <v>116</v>
      </c>
      <c r="DD111" s="34">
        <f t="shared" si="24"/>
        <v>1035</v>
      </c>
      <c r="DE111" t="s">
        <v>982</v>
      </c>
      <c r="DF111" t="str">
        <f t="shared" si="25"/>
        <v>Dubai#Company#Dubai DIFC Prescribed Company</v>
      </c>
      <c r="DG111" t="b">
        <f t="shared" si="26"/>
        <v>1</v>
      </c>
    </row>
    <row r="112" spans="1:111" ht="90" hidden="1" customHeight="1" x14ac:dyDescent="0.35">
      <c r="A112" s="35" t="s">
        <v>963</v>
      </c>
      <c r="B112" s="18" t="s">
        <v>964</v>
      </c>
      <c r="C112" s="35" t="s">
        <v>88</v>
      </c>
      <c r="D112" s="36" t="s">
        <v>983</v>
      </c>
      <c r="E112" s="35" t="s">
        <v>90</v>
      </c>
      <c r="F112" s="20" t="s">
        <v>984</v>
      </c>
      <c r="G112" s="20" t="s">
        <v>985</v>
      </c>
      <c r="H112" s="20" t="s">
        <v>93</v>
      </c>
      <c r="I112" s="20" t="s">
        <v>94</v>
      </c>
      <c r="J112" s="20" t="s">
        <v>968</v>
      </c>
      <c r="K112" s="20" t="s">
        <v>96</v>
      </c>
      <c r="L112" s="20" t="s">
        <v>97</v>
      </c>
      <c r="M112" s="20" t="s">
        <v>98</v>
      </c>
      <c r="N112" s="20" t="s">
        <v>969</v>
      </c>
      <c r="O112" s="20" t="s">
        <v>100</v>
      </c>
      <c r="P112" s="20" t="s">
        <v>101</v>
      </c>
      <c r="Q112" s="20" t="s">
        <v>102</v>
      </c>
      <c r="R112" s="20" t="s">
        <v>103</v>
      </c>
      <c r="S112" s="20" t="s">
        <v>104</v>
      </c>
      <c r="T112" s="20" t="s">
        <v>105</v>
      </c>
      <c r="U112" s="20" t="s">
        <v>106</v>
      </c>
      <c r="V112" s="21" t="s">
        <v>243</v>
      </c>
      <c r="W112" s="21" t="s">
        <v>229</v>
      </c>
      <c r="X112" s="21" t="s">
        <v>109</v>
      </c>
      <c r="Y112" s="21" t="s">
        <v>970</v>
      </c>
      <c r="Z112" s="21" t="s">
        <v>256</v>
      </c>
      <c r="AA112" s="21" t="s">
        <v>112</v>
      </c>
      <c r="AB112" s="21" t="s">
        <v>986</v>
      </c>
      <c r="AC112" s="21" t="s">
        <v>987</v>
      </c>
      <c r="AD112" s="37">
        <v>5500</v>
      </c>
      <c r="AE112" s="23" t="s">
        <v>115</v>
      </c>
      <c r="AF112" s="38"/>
      <c r="AG112" s="23" t="s">
        <v>116</v>
      </c>
      <c r="AH112" s="38"/>
      <c r="AI112" s="25" t="s">
        <v>117</v>
      </c>
      <c r="AJ112" s="38"/>
      <c r="AK112" s="25" t="s">
        <v>117</v>
      </c>
      <c r="AL112" s="22">
        <v>0</v>
      </c>
      <c r="AM112" s="23" t="s">
        <v>115</v>
      </c>
      <c r="AN112" s="38"/>
      <c r="AO112" s="25" t="s">
        <v>117</v>
      </c>
      <c r="AP112" s="37">
        <v>4500</v>
      </c>
      <c r="AQ112" s="23" t="s">
        <v>115</v>
      </c>
      <c r="AR112" s="38"/>
      <c r="AS112" s="23" t="s">
        <v>117</v>
      </c>
      <c r="AT112" s="39" t="s">
        <v>118</v>
      </c>
      <c r="AU112" s="23" t="s">
        <v>116</v>
      </c>
      <c r="AV112" s="39" t="s">
        <v>118</v>
      </c>
      <c r="AW112" s="23" t="s">
        <v>115</v>
      </c>
      <c r="AX112" s="39" t="s">
        <v>118</v>
      </c>
      <c r="AY112" s="23" t="s">
        <v>115</v>
      </c>
      <c r="AZ112" s="39" t="s">
        <v>118</v>
      </c>
      <c r="BA112" s="23" t="s">
        <v>115</v>
      </c>
      <c r="BB112" s="40"/>
      <c r="BC112" s="23" t="s">
        <v>115</v>
      </c>
      <c r="BD112" s="39" t="s">
        <v>118</v>
      </c>
      <c r="BE112" s="23" t="s">
        <v>115</v>
      </c>
      <c r="BF112" s="39" t="s">
        <v>118</v>
      </c>
      <c r="BG112" s="23" t="s">
        <v>115</v>
      </c>
      <c r="BH112" s="40"/>
      <c r="BI112" s="25" t="s">
        <v>117</v>
      </c>
      <c r="BJ112" s="40"/>
      <c r="BK112" s="25" t="s">
        <v>117</v>
      </c>
      <c r="BL112" s="40"/>
      <c r="BM112" s="25" t="s">
        <v>117</v>
      </c>
      <c r="BN112" s="40"/>
      <c r="BO112" s="25" t="s">
        <v>117</v>
      </c>
      <c r="BP112" s="40"/>
      <c r="BQ112" s="25" t="s">
        <v>117</v>
      </c>
      <c r="BR112" s="40"/>
      <c r="BS112" s="25" t="s">
        <v>117</v>
      </c>
      <c r="BT112" s="40"/>
      <c r="BU112" s="25" t="s">
        <v>117</v>
      </c>
      <c r="BV112" s="40"/>
      <c r="BW112" s="25" t="s">
        <v>117</v>
      </c>
      <c r="BX112" s="40"/>
      <c r="BY112" s="25" t="s">
        <v>117</v>
      </c>
      <c r="BZ112" s="40"/>
      <c r="CA112" s="25" t="s">
        <v>117</v>
      </c>
      <c r="CB112" s="40"/>
      <c r="CC112" s="25" t="s">
        <v>117</v>
      </c>
      <c r="CD112" s="40"/>
      <c r="CE112" s="25" t="s">
        <v>117</v>
      </c>
      <c r="CF112" s="40"/>
      <c r="CG112" s="25" t="s">
        <v>117</v>
      </c>
      <c r="CH112" s="40"/>
      <c r="CI112" s="25"/>
      <c r="CJ112" s="40"/>
      <c r="CK112" s="41" t="s">
        <v>117</v>
      </c>
      <c r="CL112" s="40"/>
      <c r="CM112" s="41" t="s">
        <v>117</v>
      </c>
      <c r="CN112" s="40"/>
      <c r="CO112" s="25" t="s">
        <v>117</v>
      </c>
      <c r="CP112" s="30">
        <v>400</v>
      </c>
      <c r="CQ112" s="23" t="s">
        <v>115</v>
      </c>
      <c r="CR112" s="32"/>
      <c r="CS112" s="23" t="s">
        <v>117</v>
      </c>
      <c r="CT112" s="32"/>
      <c r="CU112" s="23" t="s">
        <v>117</v>
      </c>
      <c r="CV112" s="32"/>
      <c r="CW112" s="23" t="s">
        <v>117</v>
      </c>
      <c r="CX112" s="32"/>
      <c r="CY112" s="25" t="s">
        <v>117</v>
      </c>
      <c r="CZ112" s="32"/>
      <c r="DA112" s="25" t="s">
        <v>117</v>
      </c>
      <c r="DB112" s="33" t="s">
        <v>120</v>
      </c>
      <c r="DC112" s="25" t="s">
        <v>116</v>
      </c>
      <c r="DD112" s="34">
        <f t="shared" si="24"/>
        <v>780</v>
      </c>
      <c r="DE112" t="s">
        <v>988</v>
      </c>
      <c r="DF112" t="str">
        <f t="shared" si="25"/>
        <v>Dubai#Company#Dubai DIFC Private Limited Company</v>
      </c>
      <c r="DG112" t="b">
        <f t="shared" si="26"/>
        <v>1</v>
      </c>
    </row>
    <row r="113" spans="1:111" ht="78.75" hidden="1" customHeight="1" x14ac:dyDescent="0.35">
      <c r="A113" s="42" t="s">
        <v>963</v>
      </c>
      <c r="B113" s="18" t="s">
        <v>964</v>
      </c>
      <c r="C113" s="42" t="s">
        <v>88</v>
      </c>
      <c r="D113" s="43" t="s">
        <v>989</v>
      </c>
      <c r="E113" s="42" t="s">
        <v>90</v>
      </c>
      <c r="F113" s="20" t="s">
        <v>990</v>
      </c>
      <c r="G113" s="20" t="s">
        <v>991</v>
      </c>
      <c r="H113" s="20" t="s">
        <v>93</v>
      </c>
      <c r="I113" s="20" t="s">
        <v>94</v>
      </c>
      <c r="J113" s="20" t="s">
        <v>968</v>
      </c>
      <c r="K113" s="20" t="s">
        <v>96</v>
      </c>
      <c r="L113" s="20" t="s">
        <v>97</v>
      </c>
      <c r="M113" s="20" t="s">
        <v>98</v>
      </c>
      <c r="N113" s="20" t="s">
        <v>969</v>
      </c>
      <c r="O113" s="20" t="s">
        <v>100</v>
      </c>
      <c r="P113" s="20" t="s">
        <v>101</v>
      </c>
      <c r="Q113" s="20" t="s">
        <v>102</v>
      </c>
      <c r="R113" s="20" t="s">
        <v>103</v>
      </c>
      <c r="S113" s="20" t="s">
        <v>104</v>
      </c>
      <c r="T113" s="20" t="s">
        <v>105</v>
      </c>
      <c r="U113" s="20" t="s">
        <v>106</v>
      </c>
      <c r="V113" s="21" t="s">
        <v>243</v>
      </c>
      <c r="W113" s="21" t="s">
        <v>229</v>
      </c>
      <c r="X113" s="21" t="s">
        <v>109</v>
      </c>
      <c r="Y113" s="21" t="s">
        <v>970</v>
      </c>
      <c r="Z113" s="21" t="s">
        <v>256</v>
      </c>
      <c r="AA113" s="21" t="s">
        <v>112</v>
      </c>
      <c r="AB113" s="21" t="s">
        <v>992</v>
      </c>
      <c r="AC113" s="21" t="s">
        <v>993</v>
      </c>
      <c r="AD113" s="47">
        <v>5500</v>
      </c>
      <c r="AE113" s="23" t="s">
        <v>115</v>
      </c>
      <c r="AF113" s="44"/>
      <c r="AG113" s="23" t="s">
        <v>116</v>
      </c>
      <c r="AH113" s="44"/>
      <c r="AI113" s="25" t="s">
        <v>117</v>
      </c>
      <c r="AJ113" s="44"/>
      <c r="AK113" s="25" t="s">
        <v>117</v>
      </c>
      <c r="AL113" s="22">
        <v>0</v>
      </c>
      <c r="AM113" s="23" t="s">
        <v>115</v>
      </c>
      <c r="AN113" s="44"/>
      <c r="AO113" s="25" t="s">
        <v>117</v>
      </c>
      <c r="AP113" s="47">
        <v>4500</v>
      </c>
      <c r="AQ113" s="23" t="s">
        <v>115</v>
      </c>
      <c r="AR113" s="44"/>
      <c r="AS113" s="23" t="s">
        <v>117</v>
      </c>
      <c r="AT113" s="45" t="s">
        <v>118</v>
      </c>
      <c r="AU113" s="23" t="s">
        <v>116</v>
      </c>
      <c r="AV113" s="45" t="s">
        <v>118</v>
      </c>
      <c r="AW113" s="23" t="s">
        <v>115</v>
      </c>
      <c r="AX113" s="45" t="s">
        <v>118</v>
      </c>
      <c r="AY113" s="23" t="s">
        <v>115</v>
      </c>
      <c r="AZ113" s="45" t="s">
        <v>118</v>
      </c>
      <c r="BA113" s="23" t="s">
        <v>115</v>
      </c>
      <c r="BB113" s="46"/>
      <c r="BC113" s="23" t="s">
        <v>115</v>
      </c>
      <c r="BD113" s="45" t="s">
        <v>118</v>
      </c>
      <c r="BE113" s="23" t="s">
        <v>115</v>
      </c>
      <c r="BF113" s="45" t="s">
        <v>118</v>
      </c>
      <c r="BG113" s="23" t="s">
        <v>115</v>
      </c>
      <c r="BH113" s="46"/>
      <c r="BI113" s="25" t="s">
        <v>117</v>
      </c>
      <c r="BJ113" s="46"/>
      <c r="BK113" s="25" t="s">
        <v>117</v>
      </c>
      <c r="BL113" s="46"/>
      <c r="BM113" s="25" t="s">
        <v>117</v>
      </c>
      <c r="BN113" s="46"/>
      <c r="BO113" s="25" t="s">
        <v>117</v>
      </c>
      <c r="BP113" s="46"/>
      <c r="BQ113" s="25" t="s">
        <v>117</v>
      </c>
      <c r="BR113" s="46"/>
      <c r="BS113" s="25" t="s">
        <v>117</v>
      </c>
      <c r="BT113" s="46"/>
      <c r="BU113" s="25" t="s">
        <v>117</v>
      </c>
      <c r="BV113" s="46"/>
      <c r="BW113" s="25" t="s">
        <v>117</v>
      </c>
      <c r="BX113" s="46"/>
      <c r="BY113" s="25" t="s">
        <v>117</v>
      </c>
      <c r="BZ113" s="46"/>
      <c r="CA113" s="25" t="s">
        <v>117</v>
      </c>
      <c r="CB113" s="46"/>
      <c r="CC113" s="25" t="s">
        <v>117</v>
      </c>
      <c r="CD113" s="46"/>
      <c r="CE113" s="25" t="s">
        <v>117</v>
      </c>
      <c r="CF113" s="46"/>
      <c r="CG113" s="25" t="s">
        <v>117</v>
      </c>
      <c r="CH113" s="46"/>
      <c r="CI113" s="25"/>
      <c r="CJ113" s="46"/>
      <c r="CK113" s="48" t="s">
        <v>117</v>
      </c>
      <c r="CL113" s="46"/>
      <c r="CM113" s="48" t="s">
        <v>117</v>
      </c>
      <c r="CN113" s="46"/>
      <c r="CO113" s="25" t="s">
        <v>117</v>
      </c>
      <c r="CP113" s="30">
        <v>400</v>
      </c>
      <c r="CQ113" s="23" t="s">
        <v>115</v>
      </c>
      <c r="CR113" s="32"/>
      <c r="CS113" s="23" t="s">
        <v>117</v>
      </c>
      <c r="CT113" s="32"/>
      <c r="CU113" s="23" t="s">
        <v>117</v>
      </c>
      <c r="CV113" s="32"/>
      <c r="CW113" s="23" t="s">
        <v>117</v>
      </c>
      <c r="CX113" s="32"/>
      <c r="CY113" s="25" t="s">
        <v>117</v>
      </c>
      <c r="CZ113" s="32"/>
      <c r="DA113" s="25" t="s">
        <v>117</v>
      </c>
      <c r="DB113" s="33" t="s">
        <v>120</v>
      </c>
      <c r="DC113" s="25" t="s">
        <v>116</v>
      </c>
      <c r="DD113" s="34">
        <f t="shared" si="24"/>
        <v>780</v>
      </c>
      <c r="DE113" t="s">
        <v>994</v>
      </c>
      <c r="DF113" t="str">
        <f t="shared" si="25"/>
        <v>Dubai#Company#Dubai DIFC Active Enterprise</v>
      </c>
      <c r="DG113" t="b">
        <f t="shared" si="26"/>
        <v>1</v>
      </c>
    </row>
    <row r="114" spans="1:111" ht="90" hidden="1" customHeight="1" x14ac:dyDescent="0.35">
      <c r="A114" s="35" t="s">
        <v>963</v>
      </c>
      <c r="B114" s="18" t="s">
        <v>964</v>
      </c>
      <c r="C114" s="35" t="s">
        <v>88</v>
      </c>
      <c r="D114" s="36" t="s">
        <v>995</v>
      </c>
      <c r="E114" s="35" t="s">
        <v>90</v>
      </c>
      <c r="F114" s="20" t="s">
        <v>996</v>
      </c>
      <c r="G114" s="20" t="s">
        <v>997</v>
      </c>
      <c r="H114" s="20" t="s">
        <v>93</v>
      </c>
      <c r="I114" s="20" t="s">
        <v>94</v>
      </c>
      <c r="J114" s="20" t="s">
        <v>968</v>
      </c>
      <c r="K114" s="20" t="s">
        <v>96</v>
      </c>
      <c r="L114" s="20" t="s">
        <v>97</v>
      </c>
      <c r="M114" s="20" t="s">
        <v>98</v>
      </c>
      <c r="N114" s="20" t="s">
        <v>969</v>
      </c>
      <c r="O114" s="20" t="s">
        <v>100</v>
      </c>
      <c r="P114" s="20" t="s">
        <v>101</v>
      </c>
      <c r="Q114" s="20" t="s">
        <v>102</v>
      </c>
      <c r="R114" s="20" t="s">
        <v>103</v>
      </c>
      <c r="S114" s="20" t="s">
        <v>104</v>
      </c>
      <c r="T114" s="20" t="s">
        <v>105</v>
      </c>
      <c r="U114" s="20" t="s">
        <v>106</v>
      </c>
      <c r="V114" s="21" t="s">
        <v>998</v>
      </c>
      <c r="W114" s="21" t="s">
        <v>999</v>
      </c>
      <c r="X114" s="21" t="s">
        <v>1000</v>
      </c>
      <c r="Y114" s="21" t="s">
        <v>1001</v>
      </c>
      <c r="Z114" s="21" t="s">
        <v>256</v>
      </c>
      <c r="AA114" s="21" t="s">
        <v>1000</v>
      </c>
      <c r="AB114" s="21" t="s">
        <v>1002</v>
      </c>
      <c r="AC114" s="21" t="s">
        <v>1003</v>
      </c>
      <c r="AD114" s="37">
        <v>5500</v>
      </c>
      <c r="AE114" s="23" t="s">
        <v>115</v>
      </c>
      <c r="AF114" s="38"/>
      <c r="AG114" s="23" t="s">
        <v>116</v>
      </c>
      <c r="AH114" s="38"/>
      <c r="AI114" s="25" t="s">
        <v>117</v>
      </c>
      <c r="AJ114" s="38"/>
      <c r="AK114" s="25" t="s">
        <v>117</v>
      </c>
      <c r="AL114" s="22">
        <v>0</v>
      </c>
      <c r="AM114" s="23" t="s">
        <v>115</v>
      </c>
      <c r="AN114" s="38"/>
      <c r="AO114" s="25" t="s">
        <v>117</v>
      </c>
      <c r="AP114" s="37">
        <v>4500</v>
      </c>
      <c r="AQ114" s="23" t="s">
        <v>115</v>
      </c>
      <c r="AR114" s="38"/>
      <c r="AS114" s="23" t="s">
        <v>117</v>
      </c>
      <c r="AT114" s="39" t="s">
        <v>118</v>
      </c>
      <c r="AU114" s="23" t="s">
        <v>116</v>
      </c>
      <c r="AV114" s="39" t="s">
        <v>118</v>
      </c>
      <c r="AW114" s="23" t="s">
        <v>115</v>
      </c>
      <c r="AX114" s="39" t="s">
        <v>118</v>
      </c>
      <c r="AY114" s="23" t="s">
        <v>115</v>
      </c>
      <c r="AZ114" s="39" t="s">
        <v>118</v>
      </c>
      <c r="BA114" s="23" t="s">
        <v>115</v>
      </c>
      <c r="BB114" s="40"/>
      <c r="BC114" s="23" t="s">
        <v>115</v>
      </c>
      <c r="BD114" s="39" t="s">
        <v>118</v>
      </c>
      <c r="BE114" s="23" t="s">
        <v>115</v>
      </c>
      <c r="BF114" s="39" t="s">
        <v>118</v>
      </c>
      <c r="BG114" s="23" t="s">
        <v>115</v>
      </c>
      <c r="BH114" s="40"/>
      <c r="BI114" s="25" t="s">
        <v>117</v>
      </c>
      <c r="BJ114" s="40"/>
      <c r="BK114" s="25" t="s">
        <v>117</v>
      </c>
      <c r="BL114" s="40"/>
      <c r="BM114" s="25" t="s">
        <v>117</v>
      </c>
      <c r="BN114" s="40"/>
      <c r="BO114" s="25" t="s">
        <v>117</v>
      </c>
      <c r="BP114" s="40"/>
      <c r="BQ114" s="25" t="s">
        <v>117</v>
      </c>
      <c r="BR114" s="40"/>
      <c r="BS114" s="25" t="s">
        <v>117</v>
      </c>
      <c r="BT114" s="40"/>
      <c r="BU114" s="25" t="s">
        <v>117</v>
      </c>
      <c r="BV114" s="40"/>
      <c r="BW114" s="25" t="s">
        <v>117</v>
      </c>
      <c r="BX114" s="40"/>
      <c r="BY114" s="25" t="s">
        <v>117</v>
      </c>
      <c r="BZ114" s="40"/>
      <c r="CA114" s="25" t="s">
        <v>117</v>
      </c>
      <c r="CB114" s="40"/>
      <c r="CC114" s="25" t="s">
        <v>117</v>
      </c>
      <c r="CD114" s="40"/>
      <c r="CE114" s="25" t="s">
        <v>117</v>
      </c>
      <c r="CF114" s="40"/>
      <c r="CG114" s="25" t="s">
        <v>117</v>
      </c>
      <c r="CH114" s="40"/>
      <c r="CI114" s="25"/>
      <c r="CJ114" s="40"/>
      <c r="CK114" s="41" t="s">
        <v>117</v>
      </c>
      <c r="CL114" s="40"/>
      <c r="CM114" s="41" t="s">
        <v>117</v>
      </c>
      <c r="CN114" s="40"/>
      <c r="CO114" s="25" t="s">
        <v>117</v>
      </c>
      <c r="CP114" s="30">
        <v>400</v>
      </c>
      <c r="CQ114" s="23" t="s">
        <v>115</v>
      </c>
      <c r="CR114" s="32"/>
      <c r="CS114" s="23" t="s">
        <v>117</v>
      </c>
      <c r="CT114" s="32"/>
      <c r="CU114" s="23" t="s">
        <v>117</v>
      </c>
      <c r="CV114" s="32"/>
      <c r="CW114" s="23" t="s">
        <v>117</v>
      </c>
      <c r="CX114" s="32"/>
      <c r="CY114" s="25" t="s">
        <v>117</v>
      </c>
      <c r="CZ114" s="32"/>
      <c r="DA114" s="25" t="s">
        <v>117</v>
      </c>
      <c r="DB114" s="33" t="s">
        <v>120</v>
      </c>
      <c r="DC114" s="25" t="s">
        <v>116</v>
      </c>
      <c r="DD114" s="34">
        <f t="shared" si="24"/>
        <v>780</v>
      </c>
      <c r="DE114" t="s">
        <v>1004</v>
      </c>
      <c r="DF114" t="str">
        <f t="shared" si="25"/>
        <v>Dubai#Company#Dubai Dubai Others</v>
      </c>
      <c r="DG114" t="b">
        <f t="shared" si="26"/>
        <v>1</v>
      </c>
    </row>
    <row r="115" spans="1:111" ht="78.75" hidden="1" customHeight="1" x14ac:dyDescent="0.35">
      <c r="A115" s="83" t="s">
        <v>963</v>
      </c>
      <c r="B115" s="18" t="s">
        <v>964</v>
      </c>
      <c r="C115" s="42" t="s">
        <v>540</v>
      </c>
      <c r="D115" s="43" t="s">
        <v>1005</v>
      </c>
      <c r="E115" s="42" t="s">
        <v>90</v>
      </c>
      <c r="F115" s="20" t="s">
        <v>1006</v>
      </c>
      <c r="G115" s="20" t="s">
        <v>1007</v>
      </c>
      <c r="H115" s="20" t="s">
        <v>93</v>
      </c>
      <c r="I115" s="20" t="s">
        <v>94</v>
      </c>
      <c r="J115" s="20" t="s">
        <v>968</v>
      </c>
      <c r="K115" s="20" t="s">
        <v>96</v>
      </c>
      <c r="L115" s="20" t="s">
        <v>97</v>
      </c>
      <c r="M115" s="20" t="s">
        <v>98</v>
      </c>
      <c r="N115" s="20" t="s">
        <v>969</v>
      </c>
      <c r="O115" s="20" t="s">
        <v>100</v>
      </c>
      <c r="P115" s="20" t="s">
        <v>101</v>
      </c>
      <c r="Q115" s="20" t="s">
        <v>102</v>
      </c>
      <c r="R115" s="20" t="s">
        <v>103</v>
      </c>
      <c r="S115" s="20" t="s">
        <v>104</v>
      </c>
      <c r="T115" s="20" t="s">
        <v>105</v>
      </c>
      <c r="U115" s="20" t="s">
        <v>106</v>
      </c>
      <c r="V115" s="21" t="s">
        <v>180</v>
      </c>
      <c r="W115" s="21" t="s">
        <v>229</v>
      </c>
      <c r="X115" s="21" t="s">
        <v>181</v>
      </c>
      <c r="Y115" s="21" t="s">
        <v>1008</v>
      </c>
      <c r="Z115" s="21" t="s">
        <v>256</v>
      </c>
      <c r="AA115" s="21" t="s">
        <v>112</v>
      </c>
      <c r="AB115" s="21" t="s">
        <v>1009</v>
      </c>
      <c r="AC115" s="21" t="s">
        <v>1010</v>
      </c>
      <c r="AD115" s="44"/>
      <c r="AE115" s="23" t="s">
        <v>115</v>
      </c>
      <c r="AF115" s="44"/>
      <c r="AG115" s="23" t="s">
        <v>116</v>
      </c>
      <c r="AH115" s="44"/>
      <c r="AI115" s="25" t="s">
        <v>117</v>
      </c>
      <c r="AJ115" s="44"/>
      <c r="AK115" s="25" t="s">
        <v>117</v>
      </c>
      <c r="AL115" s="22">
        <v>0</v>
      </c>
      <c r="AM115" s="23" t="s">
        <v>115</v>
      </c>
      <c r="AN115" s="44"/>
      <c r="AO115" s="25" t="s">
        <v>117</v>
      </c>
      <c r="AP115" s="44"/>
      <c r="AQ115" s="23" t="s">
        <v>115</v>
      </c>
      <c r="AR115" s="44"/>
      <c r="AS115" s="23" t="s">
        <v>117</v>
      </c>
      <c r="AT115" s="45" t="s">
        <v>118</v>
      </c>
      <c r="AU115" s="23" t="s">
        <v>116</v>
      </c>
      <c r="AV115" s="45" t="s">
        <v>118</v>
      </c>
      <c r="AW115" s="23" t="s">
        <v>115</v>
      </c>
      <c r="AX115" s="45" t="s">
        <v>118</v>
      </c>
      <c r="AY115" s="23" t="s">
        <v>115</v>
      </c>
      <c r="AZ115" s="45" t="s">
        <v>118</v>
      </c>
      <c r="BA115" s="23" t="s">
        <v>115</v>
      </c>
      <c r="BB115" s="46"/>
      <c r="BC115" s="23" t="s">
        <v>115</v>
      </c>
      <c r="BD115" s="45" t="s">
        <v>118</v>
      </c>
      <c r="BE115" s="23" t="s">
        <v>115</v>
      </c>
      <c r="BF115" s="45" t="s">
        <v>118</v>
      </c>
      <c r="BG115" s="23" t="s">
        <v>115</v>
      </c>
      <c r="BH115" s="46"/>
      <c r="BI115" s="25" t="s">
        <v>117</v>
      </c>
      <c r="BJ115" s="46"/>
      <c r="BK115" s="25" t="s">
        <v>117</v>
      </c>
      <c r="BL115" s="46"/>
      <c r="BM115" s="25" t="s">
        <v>117</v>
      </c>
      <c r="BN115" s="46"/>
      <c r="BO115" s="25" t="s">
        <v>117</v>
      </c>
      <c r="BP115" s="46"/>
      <c r="BQ115" s="25" t="s">
        <v>117</v>
      </c>
      <c r="BR115" s="46"/>
      <c r="BS115" s="25" t="s">
        <v>117</v>
      </c>
      <c r="BT115" s="47">
        <v>15000</v>
      </c>
      <c r="BU115" s="25" t="s">
        <v>116</v>
      </c>
      <c r="BV115" s="46"/>
      <c r="BW115" s="25" t="s">
        <v>117</v>
      </c>
      <c r="BX115" s="46"/>
      <c r="BY115" s="25" t="s">
        <v>117</v>
      </c>
      <c r="BZ115" s="45">
        <v>0.45</v>
      </c>
      <c r="CA115" s="25" t="s">
        <v>116</v>
      </c>
      <c r="CB115" s="47">
        <v>2000</v>
      </c>
      <c r="CC115" s="25" t="s">
        <v>116</v>
      </c>
      <c r="CD115" s="45" t="s">
        <v>1011</v>
      </c>
      <c r="CE115" s="25" t="s">
        <v>116</v>
      </c>
      <c r="CF115" s="47">
        <v>250</v>
      </c>
      <c r="CG115" s="25" t="s">
        <v>116</v>
      </c>
      <c r="CH115" s="45" t="s">
        <v>1011</v>
      </c>
      <c r="CI115" s="25"/>
      <c r="CJ115" s="45" t="s">
        <v>1011</v>
      </c>
      <c r="CK115" s="48" t="s">
        <v>116</v>
      </c>
      <c r="CL115" s="45" t="s">
        <v>1011</v>
      </c>
      <c r="CM115" s="48" t="s">
        <v>116</v>
      </c>
      <c r="CN115" s="45" t="s">
        <v>1011</v>
      </c>
      <c r="CO115" s="25" t="s">
        <v>116</v>
      </c>
      <c r="CP115" s="30">
        <v>400</v>
      </c>
      <c r="CQ115" s="23" t="s">
        <v>115</v>
      </c>
      <c r="CR115" s="32"/>
      <c r="CS115" s="23" t="s">
        <v>117</v>
      </c>
      <c r="CT115" s="32"/>
      <c r="CU115" s="23" t="s">
        <v>117</v>
      </c>
      <c r="CV115" s="32"/>
      <c r="CW115" s="23" t="s">
        <v>117</v>
      </c>
      <c r="CX115" s="32"/>
      <c r="CY115" s="25" t="s">
        <v>117</v>
      </c>
      <c r="CZ115" s="32"/>
      <c r="DA115" s="25" t="s">
        <v>117</v>
      </c>
      <c r="DB115" s="33" t="s">
        <v>120</v>
      </c>
      <c r="DC115" s="25" t="s">
        <v>116</v>
      </c>
      <c r="DD115" s="34">
        <f t="shared" si="24"/>
        <v>1324</v>
      </c>
      <c r="DE115" t="s">
        <v>1012</v>
      </c>
      <c r="DF115" t="str">
        <f t="shared" si="25"/>
        <v>Dubai#Fund - compartment#Dubai DIFC Incorporated Cell</v>
      </c>
      <c r="DG115" t="b">
        <f t="shared" si="26"/>
        <v>1</v>
      </c>
    </row>
    <row r="116" spans="1:111" ht="78.75" hidden="1" customHeight="1" x14ac:dyDescent="0.35">
      <c r="A116" s="18" t="s">
        <v>963</v>
      </c>
      <c r="B116" s="18"/>
      <c r="C116" s="18" t="s">
        <v>746</v>
      </c>
      <c r="D116" s="19" t="s">
        <v>1013</v>
      </c>
      <c r="E116" s="18" t="s">
        <v>90</v>
      </c>
      <c r="F116" s="20" t="s">
        <v>1014</v>
      </c>
      <c r="G116" s="20" t="s">
        <v>1015</v>
      </c>
      <c r="H116" s="20" t="s">
        <v>1016</v>
      </c>
      <c r="I116" s="20" t="s">
        <v>1017</v>
      </c>
      <c r="J116" s="20" t="s">
        <v>968</v>
      </c>
      <c r="K116" s="20" t="s">
        <v>96</v>
      </c>
      <c r="L116" s="20" t="s">
        <v>97</v>
      </c>
      <c r="M116" s="20" t="s">
        <v>98</v>
      </c>
      <c r="N116" s="20" t="s">
        <v>1018</v>
      </c>
      <c r="O116" s="20" t="s">
        <v>1019</v>
      </c>
      <c r="P116" s="20" t="s">
        <v>1020</v>
      </c>
      <c r="Q116" s="20" t="s">
        <v>1021</v>
      </c>
      <c r="R116" s="20" t="s">
        <v>1022</v>
      </c>
      <c r="S116" s="20" t="s">
        <v>1023</v>
      </c>
      <c r="T116" s="20" t="s">
        <v>1024</v>
      </c>
      <c r="U116" s="20" t="s">
        <v>1025</v>
      </c>
      <c r="V116" s="21" t="s">
        <v>746</v>
      </c>
      <c r="W116" s="21" t="s">
        <v>1026</v>
      </c>
      <c r="X116" s="21" t="s">
        <v>789</v>
      </c>
      <c r="Y116" s="21" t="s">
        <v>1027</v>
      </c>
      <c r="Z116" s="21" t="s">
        <v>1028</v>
      </c>
      <c r="AA116" s="21" t="s">
        <v>1029</v>
      </c>
      <c r="AB116" s="21" t="s">
        <v>1030</v>
      </c>
      <c r="AC116" s="21" t="s">
        <v>1031</v>
      </c>
      <c r="AD116" s="22">
        <v>500</v>
      </c>
      <c r="AE116" s="23" t="s">
        <v>116</v>
      </c>
      <c r="AF116" s="24"/>
      <c r="AG116" s="23" t="s">
        <v>117</v>
      </c>
      <c r="AH116" s="24">
        <v>500</v>
      </c>
      <c r="AI116" s="25" t="s">
        <v>116</v>
      </c>
      <c r="AJ116" s="24"/>
      <c r="AK116" s="25" t="s">
        <v>117</v>
      </c>
      <c r="AL116" s="22"/>
      <c r="AM116" s="23" t="s">
        <v>117</v>
      </c>
      <c r="AN116" s="24"/>
      <c r="AO116" s="25" t="s">
        <v>117</v>
      </c>
      <c r="AP116" s="26"/>
      <c r="AQ116" s="23" t="s">
        <v>117</v>
      </c>
      <c r="AR116" s="24"/>
      <c r="AS116" s="23" t="s">
        <v>117</v>
      </c>
      <c r="AT116" s="27"/>
      <c r="AU116" s="23" t="s">
        <v>117</v>
      </c>
      <c r="AV116" s="22">
        <v>1800</v>
      </c>
      <c r="AW116" s="23" t="s">
        <v>116</v>
      </c>
      <c r="AX116" s="22">
        <v>2000</v>
      </c>
      <c r="AY116" s="23" t="s">
        <v>116</v>
      </c>
      <c r="AZ116" s="26">
        <v>350</v>
      </c>
      <c r="BA116" s="23" t="s">
        <v>116</v>
      </c>
      <c r="BB116" s="24"/>
      <c r="BC116" s="23" t="s">
        <v>117</v>
      </c>
      <c r="BD116" s="27">
        <v>1500</v>
      </c>
      <c r="BE116" s="23" t="s">
        <v>116</v>
      </c>
      <c r="BF116" s="27" t="s">
        <v>1032</v>
      </c>
      <c r="BG116" s="23" t="s">
        <v>116</v>
      </c>
      <c r="BH116" s="28"/>
      <c r="BI116" s="25" t="s">
        <v>117</v>
      </c>
      <c r="BJ116" s="28" t="s">
        <v>1032</v>
      </c>
      <c r="BK116" s="25" t="s">
        <v>116</v>
      </c>
      <c r="BL116" s="28">
        <v>1500</v>
      </c>
      <c r="BM116" s="25" t="s">
        <v>116</v>
      </c>
      <c r="BN116" s="28"/>
      <c r="BO116" s="25" t="s">
        <v>117</v>
      </c>
      <c r="BP116" s="28"/>
      <c r="BQ116" s="25" t="s">
        <v>117</v>
      </c>
      <c r="BR116" s="28"/>
      <c r="BS116" s="25" t="s">
        <v>117</v>
      </c>
      <c r="BT116" s="28"/>
      <c r="BU116" s="25" t="s">
        <v>117</v>
      </c>
      <c r="BV116" s="28"/>
      <c r="BW116" s="25" t="s">
        <v>117</v>
      </c>
      <c r="BX116" s="28"/>
      <c r="BY116" s="25" t="s">
        <v>117</v>
      </c>
      <c r="BZ116" s="28"/>
      <c r="CA116" s="25" t="s">
        <v>117</v>
      </c>
      <c r="CB116" s="28"/>
      <c r="CC116" s="25" t="s">
        <v>117</v>
      </c>
      <c r="CD116" s="28"/>
      <c r="CE116" s="25" t="s">
        <v>117</v>
      </c>
      <c r="CF116" s="28"/>
      <c r="CG116" s="25" t="s">
        <v>117</v>
      </c>
      <c r="CH116" s="28"/>
      <c r="CI116" s="25"/>
      <c r="CJ116" s="28"/>
      <c r="CK116" s="29" t="s">
        <v>117</v>
      </c>
      <c r="CL116" s="28"/>
      <c r="CM116" s="29" t="s">
        <v>117</v>
      </c>
      <c r="CN116" s="28"/>
      <c r="CO116" s="25" t="s">
        <v>117</v>
      </c>
      <c r="CP116" s="30"/>
      <c r="CQ116" s="23" t="s">
        <v>117</v>
      </c>
      <c r="CR116" s="30"/>
      <c r="CS116" s="23" t="s">
        <v>117</v>
      </c>
      <c r="CT116" s="30"/>
      <c r="CU116" s="23" t="s">
        <v>117</v>
      </c>
      <c r="CV116" s="31"/>
      <c r="CW116" s="23" t="s">
        <v>117</v>
      </c>
      <c r="CX116" s="32"/>
      <c r="CY116" s="25" t="s">
        <v>117</v>
      </c>
      <c r="CZ116" s="32"/>
      <c r="DA116" s="25" t="s">
        <v>117</v>
      </c>
      <c r="DB116" s="33" t="s">
        <v>1033</v>
      </c>
      <c r="DC116" s="25" t="s">
        <v>116</v>
      </c>
      <c r="DD116" s="34">
        <f t="shared" si="24"/>
        <v>386</v>
      </c>
      <c r="DE116" t="s">
        <v>1034</v>
      </c>
      <c r="DF116" t="str">
        <f t="shared" si="25"/>
        <v>Dubai#Foundation#Dubai DIFC Foundation</v>
      </c>
      <c r="DG116" t="b">
        <f t="shared" si="26"/>
        <v>1</v>
      </c>
    </row>
    <row r="117" spans="1:111" ht="78.75" hidden="1" customHeight="1" x14ac:dyDescent="0.35">
      <c r="A117" s="184" t="s">
        <v>1035</v>
      </c>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c r="AA117" s="184"/>
      <c r="AB117" s="184"/>
      <c r="AC117" s="184"/>
      <c r="AD117" s="184"/>
      <c r="AE117" s="184"/>
      <c r="AF117" s="184"/>
      <c r="AG117" s="184"/>
      <c r="AH117" s="184"/>
      <c r="AI117" s="184"/>
      <c r="AJ117" s="184"/>
      <c r="AK117" s="184"/>
      <c r="AL117" s="184"/>
      <c r="AM117" s="184"/>
      <c r="AN117" s="184"/>
      <c r="AO117" s="184"/>
      <c r="AP117" s="184"/>
      <c r="AQ117" s="184"/>
      <c r="AR117" s="184"/>
      <c r="AS117" s="184"/>
      <c r="AT117" s="184"/>
      <c r="AU117" s="184"/>
      <c r="AV117" s="184"/>
      <c r="AW117" s="184"/>
      <c r="AX117" s="184"/>
      <c r="AY117" s="184"/>
      <c r="AZ117" s="184"/>
      <c r="BA117" s="184"/>
      <c r="BB117" s="184"/>
      <c r="BC117" s="184"/>
      <c r="BD117" s="184"/>
      <c r="BE117" s="184"/>
      <c r="BF117" s="184"/>
      <c r="BG117" s="184"/>
      <c r="BH117" s="184"/>
      <c r="BI117" s="184"/>
      <c r="BJ117" s="184"/>
      <c r="BK117" s="184"/>
      <c r="BL117" s="184"/>
      <c r="BM117" s="184"/>
      <c r="BN117" s="184"/>
      <c r="BO117" s="184"/>
      <c r="BP117" s="184"/>
      <c r="BQ117" s="184"/>
      <c r="BR117" s="184"/>
      <c r="BS117" s="184"/>
      <c r="BT117" s="184"/>
      <c r="BU117" s="184"/>
      <c r="BV117" s="184"/>
      <c r="BW117" s="184"/>
      <c r="BX117" s="184"/>
      <c r="BY117" s="184"/>
      <c r="BZ117" s="184"/>
      <c r="CA117" s="184"/>
      <c r="CB117" s="184"/>
      <c r="CC117" s="184"/>
      <c r="CD117" s="184"/>
      <c r="CE117" s="184"/>
      <c r="CF117" s="184"/>
      <c r="CG117" s="184"/>
      <c r="CH117" s="184"/>
      <c r="CI117" s="184"/>
      <c r="CJ117" s="184"/>
      <c r="CK117" s="184"/>
      <c r="CL117" s="184"/>
      <c r="CM117" s="184"/>
      <c r="CN117" s="184"/>
      <c r="CO117" s="184"/>
      <c r="CP117" s="184"/>
      <c r="CQ117" s="184"/>
      <c r="CR117" s="184"/>
      <c r="CS117" s="184"/>
      <c r="CT117" s="184"/>
      <c r="CU117" s="184"/>
      <c r="CV117" s="184"/>
      <c r="CW117" s="184"/>
      <c r="CX117" s="184"/>
      <c r="CY117" s="184"/>
      <c r="CZ117" s="184"/>
      <c r="DA117" s="184"/>
      <c r="DB117" s="184"/>
      <c r="DC117" s="184"/>
      <c r="DE117" t="s">
        <v>85</v>
      </c>
      <c r="DF117" t="str">
        <f>A111&amp;"#"&amp;C111&amp;"#"&amp;D111</f>
        <v>Dubai#Company#Dubai DIFC Prescribed Company</v>
      </c>
    </row>
    <row r="118" spans="1:111" ht="78.75" hidden="1" customHeight="1" x14ac:dyDescent="0.35">
      <c r="A118" s="42" t="s">
        <v>1036</v>
      </c>
      <c r="B118" s="18" t="s">
        <v>964</v>
      </c>
      <c r="C118" s="42" t="s">
        <v>88</v>
      </c>
      <c r="D118" s="43" t="s">
        <v>1037</v>
      </c>
      <c r="E118" s="42" t="s">
        <v>90</v>
      </c>
      <c r="F118" s="20" t="s">
        <v>1038</v>
      </c>
      <c r="G118" s="20" t="s">
        <v>1039</v>
      </c>
      <c r="H118" s="20" t="s">
        <v>93</v>
      </c>
      <c r="I118" s="20" t="s">
        <v>94</v>
      </c>
      <c r="J118" s="20" t="s">
        <v>1040</v>
      </c>
      <c r="K118" s="20" t="s">
        <v>96</v>
      </c>
      <c r="L118" s="20" t="s">
        <v>97</v>
      </c>
      <c r="M118" s="20" t="s">
        <v>98</v>
      </c>
      <c r="N118" s="20" t="s">
        <v>1041</v>
      </c>
      <c r="O118" s="20" t="s">
        <v>100</v>
      </c>
      <c r="P118" s="20" t="s">
        <v>101</v>
      </c>
      <c r="Q118" s="20" t="s">
        <v>102</v>
      </c>
      <c r="R118" s="20" t="s">
        <v>103</v>
      </c>
      <c r="S118" s="20" t="s">
        <v>104</v>
      </c>
      <c r="T118" s="20" t="s">
        <v>105</v>
      </c>
      <c r="U118" s="20" t="s">
        <v>106</v>
      </c>
      <c r="V118" s="21" t="s">
        <v>243</v>
      </c>
      <c r="W118" s="21" t="s">
        <v>999</v>
      </c>
      <c r="X118" s="21" t="s">
        <v>109</v>
      </c>
      <c r="Y118" s="21" t="s">
        <v>1042</v>
      </c>
      <c r="Z118" s="21" t="s">
        <v>256</v>
      </c>
      <c r="AA118" s="21" t="s">
        <v>112</v>
      </c>
      <c r="AB118" s="21" t="s">
        <v>1043</v>
      </c>
      <c r="AC118" s="21" t="s">
        <v>1044</v>
      </c>
      <c r="AD118" s="47">
        <v>5000</v>
      </c>
      <c r="AE118" s="23" t="s">
        <v>115</v>
      </c>
      <c r="AF118" s="44"/>
      <c r="AG118" s="23" t="s">
        <v>116</v>
      </c>
      <c r="AH118" s="44"/>
      <c r="AI118" s="25" t="s">
        <v>117</v>
      </c>
      <c r="AJ118" s="44"/>
      <c r="AK118" s="25" t="s">
        <v>117</v>
      </c>
      <c r="AL118" s="22">
        <v>0</v>
      </c>
      <c r="AM118" s="23" t="s">
        <v>115</v>
      </c>
      <c r="AN118" s="44"/>
      <c r="AO118" s="25" t="s">
        <v>117</v>
      </c>
      <c r="AP118" s="47">
        <v>4500</v>
      </c>
      <c r="AQ118" s="23" t="s">
        <v>115</v>
      </c>
      <c r="AR118" s="44"/>
      <c r="AS118" s="23" t="s">
        <v>117</v>
      </c>
      <c r="AT118" s="45" t="s">
        <v>118</v>
      </c>
      <c r="AU118" s="23" t="s">
        <v>116</v>
      </c>
      <c r="AV118" s="45" t="s">
        <v>118</v>
      </c>
      <c r="AW118" s="23" t="s">
        <v>115</v>
      </c>
      <c r="AX118" s="45" t="s">
        <v>118</v>
      </c>
      <c r="AY118" s="23" t="s">
        <v>115</v>
      </c>
      <c r="AZ118" s="45" t="s">
        <v>118</v>
      </c>
      <c r="BA118" s="23" t="s">
        <v>115</v>
      </c>
      <c r="BB118" s="46"/>
      <c r="BC118" s="23" t="s">
        <v>115</v>
      </c>
      <c r="BD118" s="45" t="s">
        <v>118</v>
      </c>
      <c r="BE118" s="23" t="s">
        <v>115</v>
      </c>
      <c r="BF118" s="45" t="s">
        <v>118</v>
      </c>
      <c r="BG118" s="23" t="s">
        <v>115</v>
      </c>
      <c r="BH118" s="46"/>
      <c r="BI118" s="25" t="s">
        <v>117</v>
      </c>
      <c r="BJ118" s="46"/>
      <c r="BK118" s="25" t="s">
        <v>117</v>
      </c>
      <c r="BL118" s="46"/>
      <c r="BM118" s="25" t="s">
        <v>117</v>
      </c>
      <c r="BN118" s="46"/>
      <c r="BO118" s="25" t="s">
        <v>117</v>
      </c>
      <c r="BP118" s="46"/>
      <c r="BQ118" s="25" t="s">
        <v>117</v>
      </c>
      <c r="BR118" s="46"/>
      <c r="BS118" s="25" t="s">
        <v>117</v>
      </c>
      <c r="BT118" s="46"/>
      <c r="BU118" s="25" t="s">
        <v>117</v>
      </c>
      <c r="BV118" s="46"/>
      <c r="BW118" s="25" t="s">
        <v>117</v>
      </c>
      <c r="BX118" s="46"/>
      <c r="BY118" s="25" t="s">
        <v>117</v>
      </c>
      <c r="BZ118" s="46"/>
      <c r="CA118" s="25" t="s">
        <v>117</v>
      </c>
      <c r="CB118" s="46"/>
      <c r="CC118" s="25" t="s">
        <v>117</v>
      </c>
      <c r="CD118" s="46"/>
      <c r="CE118" s="25" t="s">
        <v>117</v>
      </c>
      <c r="CF118" s="46"/>
      <c r="CG118" s="25" t="s">
        <v>117</v>
      </c>
      <c r="CH118" s="46"/>
      <c r="CI118" s="25"/>
      <c r="CJ118" s="46"/>
      <c r="CK118" s="48" t="s">
        <v>117</v>
      </c>
      <c r="CL118" s="46"/>
      <c r="CM118" s="48" t="s">
        <v>117</v>
      </c>
      <c r="CN118" s="46"/>
      <c r="CO118" s="25" t="s">
        <v>117</v>
      </c>
      <c r="CP118" s="30">
        <v>400</v>
      </c>
      <c r="CQ118" s="23" t="s">
        <v>115</v>
      </c>
      <c r="CR118" s="32"/>
      <c r="CS118" s="23" t="s">
        <v>117</v>
      </c>
      <c r="CT118" s="32"/>
      <c r="CU118" s="23" t="s">
        <v>117</v>
      </c>
      <c r="CV118" s="32"/>
      <c r="CW118" s="23" t="s">
        <v>117</v>
      </c>
      <c r="CX118" s="32"/>
      <c r="CY118" s="25" t="s">
        <v>117</v>
      </c>
      <c r="CZ118" s="32"/>
      <c r="DA118" s="25" t="s">
        <v>117</v>
      </c>
      <c r="DB118" s="33" t="s">
        <v>120</v>
      </c>
      <c r="DC118" s="25" t="s">
        <v>116</v>
      </c>
      <c r="DD118" s="34">
        <f t="shared" ref="DD118:DD127" si="27">ROUND(0.075*SUM(AD118,AF118,AH118,AJ118,AL118,AN118,AP118,AR118,AT118,AV118,AX118,AZ118,BB118,BR118,BT118,BV118,BX118,BZ118,CB118,CD118,CF118,CJ118,CL118,CN118,CP118,CR118,CT118,CV118,CX118,CZ118),0)</f>
        <v>743</v>
      </c>
      <c r="DE118" t="s">
        <v>1045</v>
      </c>
      <c r="DF118" t="str">
        <f t="shared" ref="DF118:DF127" si="28">A118&amp;"#"&amp;C118&amp;"#"&amp;D118</f>
        <v>United Arab Emirates#Company#United Arab Emirates Managed Free Zone</v>
      </c>
      <c r="DG118" t="b">
        <f t="shared" ref="DG118:DG127" si="29">DE118=DF118</f>
        <v>1</v>
      </c>
    </row>
    <row r="119" spans="1:111" ht="78.75" hidden="1" customHeight="1" x14ac:dyDescent="0.35">
      <c r="A119" s="35" t="s">
        <v>1036</v>
      </c>
      <c r="B119" s="18" t="s">
        <v>964</v>
      </c>
      <c r="C119" s="35" t="s">
        <v>88</v>
      </c>
      <c r="D119" s="36" t="s">
        <v>1046</v>
      </c>
      <c r="E119" s="35" t="s">
        <v>90</v>
      </c>
      <c r="F119" s="20" t="s">
        <v>1047</v>
      </c>
      <c r="G119" s="20" t="s">
        <v>1048</v>
      </c>
      <c r="H119" s="20" t="s">
        <v>93</v>
      </c>
      <c r="I119" s="20" t="s">
        <v>94</v>
      </c>
      <c r="J119" s="20" t="s">
        <v>1040</v>
      </c>
      <c r="K119" s="20" t="s">
        <v>96</v>
      </c>
      <c r="L119" s="20" t="s">
        <v>97</v>
      </c>
      <c r="M119" s="20" t="s">
        <v>98</v>
      </c>
      <c r="N119" s="20" t="s">
        <v>1041</v>
      </c>
      <c r="O119" s="20" t="s">
        <v>100</v>
      </c>
      <c r="P119" s="20" t="s">
        <v>101</v>
      </c>
      <c r="Q119" s="20" t="s">
        <v>102</v>
      </c>
      <c r="R119" s="20" t="s">
        <v>103</v>
      </c>
      <c r="S119" s="20" t="s">
        <v>104</v>
      </c>
      <c r="T119" s="20" t="s">
        <v>105</v>
      </c>
      <c r="U119" s="20" t="s">
        <v>106</v>
      </c>
      <c r="V119" s="21" t="s">
        <v>243</v>
      </c>
      <c r="W119" s="21" t="s">
        <v>999</v>
      </c>
      <c r="X119" s="21" t="s">
        <v>109</v>
      </c>
      <c r="Y119" s="21" t="s">
        <v>1049</v>
      </c>
      <c r="Z119" s="21" t="s">
        <v>256</v>
      </c>
      <c r="AA119" s="21" t="s">
        <v>112</v>
      </c>
      <c r="AB119" s="21" t="s">
        <v>1050</v>
      </c>
      <c r="AC119" s="21" t="s">
        <v>1051</v>
      </c>
      <c r="AD119" s="37">
        <v>5000</v>
      </c>
      <c r="AE119" s="23" t="s">
        <v>115</v>
      </c>
      <c r="AF119" s="38"/>
      <c r="AG119" s="23" t="s">
        <v>116</v>
      </c>
      <c r="AH119" s="38"/>
      <c r="AI119" s="25" t="s">
        <v>117</v>
      </c>
      <c r="AJ119" s="38"/>
      <c r="AK119" s="25" t="s">
        <v>117</v>
      </c>
      <c r="AL119" s="22">
        <v>0</v>
      </c>
      <c r="AM119" s="23" t="s">
        <v>115</v>
      </c>
      <c r="AN119" s="38"/>
      <c r="AO119" s="25" t="s">
        <v>117</v>
      </c>
      <c r="AP119" s="37">
        <v>4500</v>
      </c>
      <c r="AQ119" s="23" t="s">
        <v>115</v>
      </c>
      <c r="AR119" s="38"/>
      <c r="AS119" s="23" t="s">
        <v>117</v>
      </c>
      <c r="AT119" s="39" t="s">
        <v>118</v>
      </c>
      <c r="AU119" s="23" t="s">
        <v>116</v>
      </c>
      <c r="AV119" s="39" t="s">
        <v>118</v>
      </c>
      <c r="AW119" s="23" t="s">
        <v>115</v>
      </c>
      <c r="AX119" s="39" t="s">
        <v>118</v>
      </c>
      <c r="AY119" s="23" t="s">
        <v>115</v>
      </c>
      <c r="AZ119" s="39" t="s">
        <v>118</v>
      </c>
      <c r="BA119" s="23" t="s">
        <v>115</v>
      </c>
      <c r="BB119" s="40"/>
      <c r="BC119" s="23" t="s">
        <v>115</v>
      </c>
      <c r="BD119" s="39" t="s">
        <v>118</v>
      </c>
      <c r="BE119" s="23" t="s">
        <v>115</v>
      </c>
      <c r="BF119" s="39" t="s">
        <v>118</v>
      </c>
      <c r="BG119" s="23" t="s">
        <v>115</v>
      </c>
      <c r="BH119" s="40"/>
      <c r="BI119" s="25" t="s">
        <v>117</v>
      </c>
      <c r="BJ119" s="40"/>
      <c r="BK119" s="25" t="s">
        <v>117</v>
      </c>
      <c r="BL119" s="40"/>
      <c r="BM119" s="25" t="s">
        <v>117</v>
      </c>
      <c r="BN119" s="40"/>
      <c r="BO119" s="25" t="s">
        <v>117</v>
      </c>
      <c r="BP119" s="40"/>
      <c r="BQ119" s="25" t="s">
        <v>117</v>
      </c>
      <c r="BR119" s="40"/>
      <c r="BS119" s="25" t="s">
        <v>117</v>
      </c>
      <c r="BT119" s="40"/>
      <c r="BU119" s="25" t="s">
        <v>117</v>
      </c>
      <c r="BV119" s="40"/>
      <c r="BW119" s="25" t="s">
        <v>117</v>
      </c>
      <c r="BX119" s="40"/>
      <c r="BY119" s="25" t="s">
        <v>117</v>
      </c>
      <c r="BZ119" s="40"/>
      <c r="CA119" s="25" t="s">
        <v>117</v>
      </c>
      <c r="CB119" s="40"/>
      <c r="CC119" s="25" t="s">
        <v>117</v>
      </c>
      <c r="CD119" s="40"/>
      <c r="CE119" s="25" t="s">
        <v>117</v>
      </c>
      <c r="CF119" s="40"/>
      <c r="CG119" s="25" t="s">
        <v>117</v>
      </c>
      <c r="CH119" s="40"/>
      <c r="CI119" s="25"/>
      <c r="CJ119" s="40"/>
      <c r="CK119" s="41" t="s">
        <v>117</v>
      </c>
      <c r="CL119" s="40"/>
      <c r="CM119" s="41" t="s">
        <v>117</v>
      </c>
      <c r="CN119" s="40"/>
      <c r="CO119" s="25" t="s">
        <v>117</v>
      </c>
      <c r="CP119" s="30">
        <v>400</v>
      </c>
      <c r="CQ119" s="23" t="s">
        <v>115</v>
      </c>
      <c r="CR119" s="32"/>
      <c r="CS119" s="23" t="s">
        <v>117</v>
      </c>
      <c r="CT119" s="32"/>
      <c r="CU119" s="23" t="s">
        <v>117</v>
      </c>
      <c r="CV119" s="32"/>
      <c r="CW119" s="23" t="s">
        <v>117</v>
      </c>
      <c r="CX119" s="32"/>
      <c r="CY119" s="25" t="s">
        <v>117</v>
      </c>
      <c r="CZ119" s="32"/>
      <c r="DA119" s="25" t="s">
        <v>117</v>
      </c>
      <c r="DB119" s="33" t="s">
        <v>120</v>
      </c>
      <c r="DC119" s="25" t="s">
        <v>116</v>
      </c>
      <c r="DD119" s="34">
        <f t="shared" si="27"/>
        <v>743</v>
      </c>
      <c r="DE119" t="s">
        <v>1052</v>
      </c>
      <c r="DF119" t="str">
        <f t="shared" si="28"/>
        <v>United Arab Emirates#Company#United Arab Emirates AE Other Freezones</v>
      </c>
      <c r="DG119" t="b">
        <f t="shared" si="29"/>
        <v>1</v>
      </c>
    </row>
    <row r="120" spans="1:111" ht="78.75" hidden="1" customHeight="1" x14ac:dyDescent="0.35">
      <c r="A120" s="42" t="s">
        <v>1036</v>
      </c>
      <c r="B120" s="18" t="s">
        <v>964</v>
      </c>
      <c r="C120" s="42" t="s">
        <v>88</v>
      </c>
      <c r="D120" s="43" t="s">
        <v>1053</v>
      </c>
      <c r="E120" s="42" t="s">
        <v>90</v>
      </c>
      <c r="F120" s="20" t="s">
        <v>513</v>
      </c>
      <c r="G120" s="20" t="s">
        <v>1054</v>
      </c>
      <c r="H120" s="20" t="s">
        <v>93</v>
      </c>
      <c r="I120" s="20" t="s">
        <v>94</v>
      </c>
      <c r="J120" s="20" t="s">
        <v>1040</v>
      </c>
      <c r="K120" s="20" t="s">
        <v>96</v>
      </c>
      <c r="L120" s="20" t="s">
        <v>97</v>
      </c>
      <c r="M120" s="20" t="s">
        <v>98</v>
      </c>
      <c r="N120" s="20" t="s">
        <v>1041</v>
      </c>
      <c r="O120" s="20" t="s">
        <v>100</v>
      </c>
      <c r="P120" s="20" t="s">
        <v>101</v>
      </c>
      <c r="Q120" s="20" t="s">
        <v>102</v>
      </c>
      <c r="R120" s="20" t="s">
        <v>515</v>
      </c>
      <c r="S120" s="20" t="s">
        <v>516</v>
      </c>
      <c r="T120" s="20" t="s">
        <v>105</v>
      </c>
      <c r="U120" s="20" t="s">
        <v>517</v>
      </c>
      <c r="V120" s="21" t="s">
        <v>518</v>
      </c>
      <c r="W120" s="21" t="s">
        <v>203</v>
      </c>
      <c r="X120" s="21" t="s">
        <v>109</v>
      </c>
      <c r="Y120" s="21" t="s">
        <v>1055</v>
      </c>
      <c r="Z120" s="21" t="s">
        <v>256</v>
      </c>
      <c r="AA120" s="21" t="s">
        <v>1056</v>
      </c>
      <c r="AB120" s="21" t="s">
        <v>1057</v>
      </c>
      <c r="AC120" s="21" t="s">
        <v>1058</v>
      </c>
      <c r="AD120" s="47">
        <v>5000</v>
      </c>
      <c r="AE120" s="23" t="s">
        <v>115</v>
      </c>
      <c r="AF120" s="44"/>
      <c r="AG120" s="23" t="s">
        <v>116</v>
      </c>
      <c r="AH120" s="44"/>
      <c r="AI120" s="25" t="s">
        <v>117</v>
      </c>
      <c r="AJ120" s="44"/>
      <c r="AK120" s="25" t="s">
        <v>117</v>
      </c>
      <c r="AL120" s="22">
        <v>0</v>
      </c>
      <c r="AM120" s="23" t="s">
        <v>115</v>
      </c>
      <c r="AN120" s="44"/>
      <c r="AO120" s="25" t="s">
        <v>117</v>
      </c>
      <c r="AP120" s="47">
        <v>4500</v>
      </c>
      <c r="AQ120" s="23" t="s">
        <v>115</v>
      </c>
      <c r="AR120" s="44"/>
      <c r="AS120" s="23" t="s">
        <v>117</v>
      </c>
      <c r="AT120" s="45" t="s">
        <v>118</v>
      </c>
      <c r="AU120" s="23" t="s">
        <v>116</v>
      </c>
      <c r="AV120" s="45" t="s">
        <v>118</v>
      </c>
      <c r="AW120" s="23" t="s">
        <v>115</v>
      </c>
      <c r="AX120" s="45" t="s">
        <v>118</v>
      </c>
      <c r="AY120" s="23" t="s">
        <v>115</v>
      </c>
      <c r="AZ120" s="45" t="s">
        <v>118</v>
      </c>
      <c r="BA120" s="23" t="s">
        <v>115</v>
      </c>
      <c r="BB120" s="46"/>
      <c r="BC120" s="23" t="s">
        <v>115</v>
      </c>
      <c r="BD120" s="45" t="s">
        <v>118</v>
      </c>
      <c r="BE120" s="23" t="s">
        <v>115</v>
      </c>
      <c r="BF120" s="45" t="s">
        <v>118</v>
      </c>
      <c r="BG120" s="23" t="s">
        <v>115</v>
      </c>
      <c r="BH120" s="46"/>
      <c r="BI120" s="25" t="s">
        <v>117</v>
      </c>
      <c r="BJ120" s="46"/>
      <c r="BK120" s="25" t="s">
        <v>117</v>
      </c>
      <c r="BL120" s="46"/>
      <c r="BM120" s="25" t="s">
        <v>117</v>
      </c>
      <c r="BN120" s="46"/>
      <c r="BO120" s="25" t="s">
        <v>117</v>
      </c>
      <c r="BP120" s="46"/>
      <c r="BQ120" s="25" t="s">
        <v>117</v>
      </c>
      <c r="BR120" s="46"/>
      <c r="BS120" s="25" t="s">
        <v>117</v>
      </c>
      <c r="BT120" s="46"/>
      <c r="BU120" s="25" t="s">
        <v>117</v>
      </c>
      <c r="BV120" s="46"/>
      <c r="BW120" s="25" t="s">
        <v>117</v>
      </c>
      <c r="BX120" s="46"/>
      <c r="BY120" s="25" t="s">
        <v>117</v>
      </c>
      <c r="BZ120" s="46"/>
      <c r="CA120" s="25" t="s">
        <v>117</v>
      </c>
      <c r="CB120" s="46"/>
      <c r="CC120" s="25" t="s">
        <v>117</v>
      </c>
      <c r="CD120" s="46"/>
      <c r="CE120" s="25" t="s">
        <v>117</v>
      </c>
      <c r="CF120" s="46"/>
      <c r="CG120" s="25" t="s">
        <v>117</v>
      </c>
      <c r="CH120" s="46"/>
      <c r="CI120" s="25"/>
      <c r="CJ120" s="46"/>
      <c r="CK120" s="48" t="s">
        <v>117</v>
      </c>
      <c r="CL120" s="46"/>
      <c r="CM120" s="48" t="s">
        <v>117</v>
      </c>
      <c r="CN120" s="46"/>
      <c r="CO120" s="25" t="s">
        <v>117</v>
      </c>
      <c r="CP120" s="30">
        <v>400</v>
      </c>
      <c r="CQ120" s="23" t="s">
        <v>115</v>
      </c>
      <c r="CR120" s="32"/>
      <c r="CS120" s="23" t="s">
        <v>117</v>
      </c>
      <c r="CT120" s="32"/>
      <c r="CU120" s="23" t="s">
        <v>117</v>
      </c>
      <c r="CV120" s="32"/>
      <c r="CW120" s="23" t="s">
        <v>117</v>
      </c>
      <c r="CX120" s="32"/>
      <c r="CY120" s="25" t="s">
        <v>117</v>
      </c>
      <c r="CZ120" s="32"/>
      <c r="DA120" s="25" t="s">
        <v>117</v>
      </c>
      <c r="DB120" s="33" t="s">
        <v>120</v>
      </c>
      <c r="DC120" s="25" t="s">
        <v>116</v>
      </c>
      <c r="DD120" s="34">
        <f t="shared" si="27"/>
        <v>743</v>
      </c>
      <c r="DE120" t="s">
        <v>1059</v>
      </c>
      <c r="DF120" t="str">
        <f t="shared" si="28"/>
        <v>United Arab Emirates#Company#United Arab Emirates LLC</v>
      </c>
      <c r="DG120" t="b">
        <f t="shared" si="29"/>
        <v>1</v>
      </c>
    </row>
    <row r="121" spans="1:111" ht="78.75" hidden="1" customHeight="1" x14ac:dyDescent="0.35">
      <c r="A121" s="35" t="s">
        <v>1036</v>
      </c>
      <c r="B121" s="18" t="s">
        <v>964</v>
      </c>
      <c r="C121" s="35" t="s">
        <v>88</v>
      </c>
      <c r="D121" s="36" t="s">
        <v>1060</v>
      </c>
      <c r="E121" s="35" t="s">
        <v>90</v>
      </c>
      <c r="F121" s="20" t="s">
        <v>1061</v>
      </c>
      <c r="G121" s="20" t="s">
        <v>1062</v>
      </c>
      <c r="H121" s="20" t="s">
        <v>93</v>
      </c>
      <c r="I121" s="20" t="s">
        <v>94</v>
      </c>
      <c r="J121" s="20" t="s">
        <v>1040</v>
      </c>
      <c r="K121" s="20" t="s">
        <v>96</v>
      </c>
      <c r="L121" s="20" t="s">
        <v>97</v>
      </c>
      <c r="M121" s="20" t="s">
        <v>98</v>
      </c>
      <c r="N121" s="20" t="s">
        <v>1041</v>
      </c>
      <c r="O121" s="20" t="s">
        <v>100</v>
      </c>
      <c r="P121" s="20" t="s">
        <v>101</v>
      </c>
      <c r="Q121" s="20" t="s">
        <v>102</v>
      </c>
      <c r="R121" s="20" t="s">
        <v>103</v>
      </c>
      <c r="S121" s="20" t="s">
        <v>104</v>
      </c>
      <c r="T121" s="20" t="s">
        <v>105</v>
      </c>
      <c r="U121" s="20" t="s">
        <v>106</v>
      </c>
      <c r="V121" s="21" t="s">
        <v>107</v>
      </c>
      <c r="W121" s="21" t="s">
        <v>108</v>
      </c>
      <c r="X121" s="21" t="s">
        <v>109</v>
      </c>
      <c r="Y121" s="21" t="s">
        <v>1063</v>
      </c>
      <c r="Z121" s="21" t="s">
        <v>111</v>
      </c>
      <c r="AA121" s="21" t="s">
        <v>112</v>
      </c>
      <c r="AB121" s="21" t="s">
        <v>1064</v>
      </c>
      <c r="AC121" s="21" t="s">
        <v>1065</v>
      </c>
      <c r="AD121" s="26">
        <v>1510</v>
      </c>
      <c r="AE121" s="23" t="s">
        <v>115</v>
      </c>
      <c r="AF121" s="38"/>
      <c r="AG121" s="23" t="s">
        <v>116</v>
      </c>
      <c r="AH121" s="38"/>
      <c r="AI121" s="25" t="s">
        <v>117</v>
      </c>
      <c r="AJ121" s="38"/>
      <c r="AK121" s="25" t="s">
        <v>117</v>
      </c>
      <c r="AL121" s="22">
        <v>0</v>
      </c>
      <c r="AM121" s="23" t="s">
        <v>115</v>
      </c>
      <c r="AN121" s="38"/>
      <c r="AO121" s="25" t="s">
        <v>117</v>
      </c>
      <c r="AP121" s="37">
        <v>4500</v>
      </c>
      <c r="AQ121" s="23" t="s">
        <v>115</v>
      </c>
      <c r="AR121" s="38"/>
      <c r="AS121" s="23" t="s">
        <v>117</v>
      </c>
      <c r="AT121" s="39" t="s">
        <v>118</v>
      </c>
      <c r="AU121" s="23" t="s">
        <v>116</v>
      </c>
      <c r="AV121" s="26">
        <v>1510</v>
      </c>
      <c r="AW121" s="23" t="s">
        <v>115</v>
      </c>
      <c r="AX121" s="39" t="s">
        <v>118</v>
      </c>
      <c r="AY121" s="23" t="s">
        <v>115</v>
      </c>
      <c r="AZ121" s="26">
        <v>1075</v>
      </c>
      <c r="BA121" s="23" t="s">
        <v>115</v>
      </c>
      <c r="BB121" s="40"/>
      <c r="BC121" s="23" t="s">
        <v>115</v>
      </c>
      <c r="BD121" s="39" t="s">
        <v>118</v>
      </c>
      <c r="BE121" s="23" t="s">
        <v>115</v>
      </c>
      <c r="BF121" s="39" t="s">
        <v>118</v>
      </c>
      <c r="BG121" s="23" t="s">
        <v>115</v>
      </c>
      <c r="BH121" s="40"/>
      <c r="BI121" s="25" t="s">
        <v>117</v>
      </c>
      <c r="BJ121" s="40"/>
      <c r="BK121" s="25" t="s">
        <v>117</v>
      </c>
      <c r="BL121" s="40"/>
      <c r="BM121" s="25" t="s">
        <v>117</v>
      </c>
      <c r="BN121" s="40"/>
      <c r="BO121" s="25" t="s">
        <v>117</v>
      </c>
      <c r="BP121" s="40"/>
      <c r="BQ121" s="25" t="s">
        <v>117</v>
      </c>
      <c r="BR121" s="40"/>
      <c r="BS121" s="25" t="s">
        <v>117</v>
      </c>
      <c r="BT121" s="40"/>
      <c r="BU121" s="25" t="s">
        <v>117</v>
      </c>
      <c r="BV121" s="40"/>
      <c r="BW121" s="25" t="s">
        <v>117</v>
      </c>
      <c r="BX121" s="40"/>
      <c r="BY121" s="25" t="s">
        <v>117</v>
      </c>
      <c r="BZ121" s="40"/>
      <c r="CA121" s="25" t="s">
        <v>117</v>
      </c>
      <c r="CB121" s="40"/>
      <c r="CC121" s="25" t="s">
        <v>117</v>
      </c>
      <c r="CD121" s="40"/>
      <c r="CE121" s="25" t="s">
        <v>117</v>
      </c>
      <c r="CF121" s="40"/>
      <c r="CG121" s="25" t="s">
        <v>117</v>
      </c>
      <c r="CH121" s="40"/>
      <c r="CI121" s="25"/>
      <c r="CJ121" s="40"/>
      <c r="CK121" s="41" t="s">
        <v>117</v>
      </c>
      <c r="CL121" s="40"/>
      <c r="CM121" s="41" t="s">
        <v>117</v>
      </c>
      <c r="CN121" s="40"/>
      <c r="CO121" s="25" t="s">
        <v>117</v>
      </c>
      <c r="CP121" s="30">
        <v>400</v>
      </c>
      <c r="CQ121" s="23" t="s">
        <v>115</v>
      </c>
      <c r="CR121" s="32"/>
      <c r="CS121" s="23" t="s">
        <v>117</v>
      </c>
      <c r="CT121" s="32"/>
      <c r="CU121" s="23" t="s">
        <v>117</v>
      </c>
      <c r="CV121" s="32"/>
      <c r="CW121" s="23" t="s">
        <v>117</v>
      </c>
      <c r="CX121" s="32"/>
      <c r="CY121" s="25" t="s">
        <v>117</v>
      </c>
      <c r="CZ121" s="32"/>
      <c r="DA121" s="25" t="s">
        <v>117</v>
      </c>
      <c r="DB121" s="33" t="s">
        <v>120</v>
      </c>
      <c r="DC121" s="25" t="s">
        <v>116</v>
      </c>
      <c r="DD121" s="34">
        <f t="shared" si="27"/>
        <v>675</v>
      </c>
      <c r="DE121" t="s">
        <v>1066</v>
      </c>
      <c r="DF121" t="str">
        <f t="shared" si="28"/>
        <v>United Arab Emirates#Company#United Arab Emirates RAKIC</v>
      </c>
      <c r="DG121" t="b">
        <f t="shared" si="29"/>
        <v>1</v>
      </c>
    </row>
    <row r="122" spans="1:111" ht="15" hidden="1" customHeight="1" x14ac:dyDescent="0.35">
      <c r="A122" s="42" t="s">
        <v>1036</v>
      </c>
      <c r="B122" s="18" t="s">
        <v>964</v>
      </c>
      <c r="C122" s="42" t="s">
        <v>88</v>
      </c>
      <c r="D122" s="43" t="s">
        <v>1067</v>
      </c>
      <c r="E122" s="42" t="s">
        <v>90</v>
      </c>
      <c r="F122" s="20" t="s">
        <v>1068</v>
      </c>
      <c r="G122" s="20" t="s">
        <v>1069</v>
      </c>
      <c r="H122" s="20" t="s">
        <v>93</v>
      </c>
      <c r="I122" s="20" t="s">
        <v>94</v>
      </c>
      <c r="J122" s="20" t="s">
        <v>1040</v>
      </c>
      <c r="K122" s="20" t="s">
        <v>96</v>
      </c>
      <c r="L122" s="20" t="s">
        <v>97</v>
      </c>
      <c r="M122" s="20" t="s">
        <v>98</v>
      </c>
      <c r="N122" s="20" t="s">
        <v>1041</v>
      </c>
      <c r="O122" s="20" t="s">
        <v>100</v>
      </c>
      <c r="P122" s="20" t="s">
        <v>101</v>
      </c>
      <c r="Q122" s="20" t="s">
        <v>102</v>
      </c>
      <c r="R122" s="20" t="s">
        <v>103</v>
      </c>
      <c r="S122" s="20" t="s">
        <v>104</v>
      </c>
      <c r="T122" s="20" t="s">
        <v>105</v>
      </c>
      <c r="U122" s="20" t="s">
        <v>106</v>
      </c>
      <c r="V122" s="21" t="s">
        <v>998</v>
      </c>
      <c r="W122" s="21" t="s">
        <v>203</v>
      </c>
      <c r="X122" s="21" t="s">
        <v>1000</v>
      </c>
      <c r="Y122" s="21" t="s">
        <v>1070</v>
      </c>
      <c r="Z122" s="21" t="s">
        <v>256</v>
      </c>
      <c r="AA122" s="21" t="s">
        <v>1000</v>
      </c>
      <c r="AB122" s="21" t="s">
        <v>1071</v>
      </c>
      <c r="AC122" s="21" t="s">
        <v>1072</v>
      </c>
      <c r="AD122" s="47">
        <v>5000</v>
      </c>
      <c r="AE122" s="23" t="s">
        <v>115</v>
      </c>
      <c r="AF122" s="44"/>
      <c r="AG122" s="23" t="s">
        <v>116</v>
      </c>
      <c r="AH122" s="44"/>
      <c r="AI122" s="25" t="s">
        <v>117</v>
      </c>
      <c r="AJ122" s="44"/>
      <c r="AK122" s="25" t="s">
        <v>117</v>
      </c>
      <c r="AL122" s="22">
        <v>0</v>
      </c>
      <c r="AM122" s="23" t="s">
        <v>115</v>
      </c>
      <c r="AN122" s="44"/>
      <c r="AO122" s="25" t="s">
        <v>117</v>
      </c>
      <c r="AP122" s="47">
        <v>4500</v>
      </c>
      <c r="AQ122" s="23" t="s">
        <v>115</v>
      </c>
      <c r="AR122" s="44"/>
      <c r="AS122" s="23" t="s">
        <v>117</v>
      </c>
      <c r="AT122" s="45" t="s">
        <v>118</v>
      </c>
      <c r="AU122" s="23" t="s">
        <v>116</v>
      </c>
      <c r="AV122" s="45" t="s">
        <v>118</v>
      </c>
      <c r="AW122" s="23" t="s">
        <v>115</v>
      </c>
      <c r="AX122" s="45" t="s">
        <v>118</v>
      </c>
      <c r="AY122" s="23" t="s">
        <v>115</v>
      </c>
      <c r="AZ122" s="45" t="s">
        <v>118</v>
      </c>
      <c r="BA122" s="23" t="s">
        <v>115</v>
      </c>
      <c r="BB122" s="46"/>
      <c r="BC122" s="23" t="s">
        <v>115</v>
      </c>
      <c r="BD122" s="45" t="s">
        <v>118</v>
      </c>
      <c r="BE122" s="23" t="s">
        <v>115</v>
      </c>
      <c r="BF122" s="45" t="s">
        <v>118</v>
      </c>
      <c r="BG122" s="23" t="s">
        <v>115</v>
      </c>
      <c r="BH122" s="46"/>
      <c r="BI122" s="25" t="s">
        <v>117</v>
      </c>
      <c r="BJ122" s="46"/>
      <c r="BK122" s="25" t="s">
        <v>117</v>
      </c>
      <c r="BL122" s="46"/>
      <c r="BM122" s="25" t="s">
        <v>117</v>
      </c>
      <c r="BN122" s="46"/>
      <c r="BO122" s="25" t="s">
        <v>117</v>
      </c>
      <c r="BP122" s="46"/>
      <c r="BQ122" s="25" t="s">
        <v>117</v>
      </c>
      <c r="BR122" s="46"/>
      <c r="BS122" s="25" t="s">
        <v>117</v>
      </c>
      <c r="BT122" s="46"/>
      <c r="BU122" s="25" t="s">
        <v>117</v>
      </c>
      <c r="BV122" s="46"/>
      <c r="BW122" s="25" t="s">
        <v>117</v>
      </c>
      <c r="BX122" s="46"/>
      <c r="BY122" s="25" t="s">
        <v>117</v>
      </c>
      <c r="BZ122" s="46"/>
      <c r="CA122" s="25" t="s">
        <v>117</v>
      </c>
      <c r="CB122" s="46"/>
      <c r="CC122" s="25" t="s">
        <v>117</v>
      </c>
      <c r="CD122" s="46"/>
      <c r="CE122" s="25" t="s">
        <v>117</v>
      </c>
      <c r="CF122" s="46"/>
      <c r="CG122" s="25" t="s">
        <v>117</v>
      </c>
      <c r="CH122" s="46"/>
      <c r="CI122" s="25"/>
      <c r="CJ122" s="46"/>
      <c r="CK122" s="48" t="s">
        <v>117</v>
      </c>
      <c r="CL122" s="46"/>
      <c r="CM122" s="48" t="s">
        <v>117</v>
      </c>
      <c r="CN122" s="46"/>
      <c r="CO122" s="25" t="s">
        <v>117</v>
      </c>
      <c r="CP122" s="30">
        <v>400</v>
      </c>
      <c r="CQ122" s="23" t="s">
        <v>115</v>
      </c>
      <c r="CR122" s="32"/>
      <c r="CS122" s="23" t="s">
        <v>117</v>
      </c>
      <c r="CT122" s="32"/>
      <c r="CU122" s="23" t="s">
        <v>117</v>
      </c>
      <c r="CV122" s="32"/>
      <c r="CW122" s="23" t="s">
        <v>117</v>
      </c>
      <c r="CX122" s="32"/>
      <c r="CY122" s="25" t="s">
        <v>117</v>
      </c>
      <c r="CZ122" s="32"/>
      <c r="DA122" s="25" t="s">
        <v>117</v>
      </c>
      <c r="DB122" s="33" t="s">
        <v>120</v>
      </c>
      <c r="DC122" s="25" t="s">
        <v>116</v>
      </c>
      <c r="DD122" s="34">
        <f t="shared" si="27"/>
        <v>743</v>
      </c>
      <c r="DE122" t="s">
        <v>1073</v>
      </c>
      <c r="DF122" t="str">
        <f t="shared" si="28"/>
        <v>United Arab Emirates#Company#United Arab Emirates UAE Others</v>
      </c>
      <c r="DG122" t="b">
        <f t="shared" si="29"/>
        <v>1</v>
      </c>
    </row>
    <row r="123" spans="1:111" ht="78.75" customHeight="1" x14ac:dyDescent="0.35">
      <c r="A123" s="35" t="s">
        <v>1036</v>
      </c>
      <c r="B123" s="18" t="s">
        <v>964</v>
      </c>
      <c r="C123" s="35" t="s">
        <v>141</v>
      </c>
      <c r="D123" s="36" t="s">
        <v>1074</v>
      </c>
      <c r="E123" s="35" t="s">
        <v>90</v>
      </c>
      <c r="F123" s="20" t="s">
        <v>1075</v>
      </c>
      <c r="G123" s="20" t="s">
        <v>1076</v>
      </c>
      <c r="H123" s="20" t="s">
        <v>145</v>
      </c>
      <c r="I123" s="20" t="s">
        <v>146</v>
      </c>
      <c r="J123" s="20" t="s">
        <v>1040</v>
      </c>
      <c r="K123" s="20" t="s">
        <v>96</v>
      </c>
      <c r="L123" s="20" t="s">
        <v>97</v>
      </c>
      <c r="M123" s="20" t="s">
        <v>98</v>
      </c>
      <c r="N123" s="20" t="s">
        <v>147</v>
      </c>
      <c r="O123" s="20" t="s">
        <v>148</v>
      </c>
      <c r="P123" s="20" t="s">
        <v>149</v>
      </c>
      <c r="Q123" s="20" t="s">
        <v>150</v>
      </c>
      <c r="R123" s="20" t="s">
        <v>151</v>
      </c>
      <c r="S123" s="20" t="s">
        <v>152</v>
      </c>
      <c r="T123" s="20" t="s">
        <v>153</v>
      </c>
      <c r="U123" s="20" t="s">
        <v>154</v>
      </c>
      <c r="V123" s="21" t="s">
        <v>267</v>
      </c>
      <c r="W123" s="21" t="s">
        <v>1077</v>
      </c>
      <c r="X123" s="21" t="s">
        <v>109</v>
      </c>
      <c r="Y123" s="21" t="s">
        <v>1078</v>
      </c>
      <c r="Z123" s="21" t="s">
        <v>256</v>
      </c>
      <c r="AA123" s="21" t="s">
        <v>112</v>
      </c>
      <c r="AB123" s="21" t="s">
        <v>1079</v>
      </c>
      <c r="AC123" s="21" t="s">
        <v>1080</v>
      </c>
      <c r="AE123" s="23" t="s">
        <v>115</v>
      </c>
      <c r="AF123" s="38"/>
      <c r="AG123" s="23" t="s">
        <v>116</v>
      </c>
      <c r="AH123" s="38"/>
      <c r="AI123" s="25" t="s">
        <v>117</v>
      </c>
      <c r="AJ123" s="38"/>
      <c r="AK123" s="25" t="s">
        <v>117</v>
      </c>
      <c r="AL123" s="22">
        <v>0</v>
      </c>
      <c r="AM123" s="23" t="s">
        <v>115</v>
      </c>
      <c r="AN123" s="38"/>
      <c r="AO123" s="25" t="s">
        <v>117</v>
      </c>
      <c r="AP123" s="39" t="s">
        <v>118</v>
      </c>
      <c r="AQ123" s="23" t="s">
        <v>115</v>
      </c>
      <c r="AR123" s="40"/>
      <c r="AS123" s="23" t="s">
        <v>117</v>
      </c>
      <c r="AT123" s="39" t="s">
        <v>118</v>
      </c>
      <c r="AU123" s="23" t="s">
        <v>116</v>
      </c>
      <c r="AV123" s="39" t="s">
        <v>118</v>
      </c>
      <c r="AW123" s="23" t="s">
        <v>115</v>
      </c>
      <c r="AX123" s="39" t="s">
        <v>118</v>
      </c>
      <c r="AY123" s="23" t="s">
        <v>115</v>
      </c>
      <c r="AZ123" s="39" t="s">
        <v>118</v>
      </c>
      <c r="BA123" s="23" t="s">
        <v>115</v>
      </c>
      <c r="BB123" s="40"/>
      <c r="BC123" s="23" t="s">
        <v>115</v>
      </c>
      <c r="BD123" s="39" t="s">
        <v>118</v>
      </c>
      <c r="BE123" s="23" t="s">
        <v>115</v>
      </c>
      <c r="BF123" s="39" t="s">
        <v>118</v>
      </c>
      <c r="BG123" s="23" t="s">
        <v>115</v>
      </c>
      <c r="BH123" s="40"/>
      <c r="BI123" s="25" t="s">
        <v>117</v>
      </c>
      <c r="BJ123" s="40"/>
      <c r="BK123" s="25" t="s">
        <v>117</v>
      </c>
      <c r="BL123" s="40"/>
      <c r="BM123" s="25" t="s">
        <v>117</v>
      </c>
      <c r="BN123" s="40"/>
      <c r="BO123" s="25" t="s">
        <v>117</v>
      </c>
      <c r="BP123" s="40"/>
      <c r="BQ123" s="25" t="s">
        <v>117</v>
      </c>
      <c r="BR123" s="37">
        <v>18000</v>
      </c>
      <c r="BS123" s="25" t="s">
        <v>115</v>
      </c>
      <c r="BT123" s="40"/>
      <c r="BU123" s="25" t="s">
        <v>117</v>
      </c>
      <c r="BV123" s="40"/>
      <c r="BW123" s="25" t="s">
        <v>117</v>
      </c>
      <c r="BX123" s="40"/>
      <c r="BY123" s="25" t="s">
        <v>117</v>
      </c>
      <c r="BZ123" s="46"/>
      <c r="CA123" s="25" t="s">
        <v>117</v>
      </c>
      <c r="CB123" s="45" t="s">
        <v>159</v>
      </c>
      <c r="CC123" s="25" t="s">
        <v>116</v>
      </c>
      <c r="CD123" s="40"/>
      <c r="CE123" s="25" t="s">
        <v>117</v>
      </c>
      <c r="CF123" s="40"/>
      <c r="CG123" s="25" t="s">
        <v>117</v>
      </c>
      <c r="CH123" s="151">
        <v>5000</v>
      </c>
      <c r="CI123" s="25" t="s">
        <v>116</v>
      </c>
      <c r="CJ123" s="151">
        <v>2500</v>
      </c>
      <c r="CK123" s="48" t="s">
        <v>116</v>
      </c>
      <c r="CL123" s="46">
        <v>1500</v>
      </c>
      <c r="CM123" s="48" t="s">
        <v>116</v>
      </c>
      <c r="CN123" s="46">
        <v>1500</v>
      </c>
      <c r="CO123" s="25" t="s">
        <v>116</v>
      </c>
      <c r="CP123" s="30">
        <v>400</v>
      </c>
      <c r="CQ123" s="23" t="s">
        <v>115</v>
      </c>
      <c r="CR123" s="32"/>
      <c r="CS123" s="23" t="s">
        <v>117</v>
      </c>
      <c r="CT123" s="32"/>
      <c r="CU123" s="23" t="s">
        <v>117</v>
      </c>
      <c r="CV123" s="32"/>
      <c r="CW123" s="23" t="s">
        <v>117</v>
      </c>
      <c r="CX123" s="32"/>
      <c r="CY123" s="25" t="s">
        <v>117</v>
      </c>
      <c r="CZ123" s="32"/>
      <c r="DA123" s="25" t="s">
        <v>117</v>
      </c>
      <c r="DB123" s="33" t="s">
        <v>120</v>
      </c>
      <c r="DC123" s="25" t="s">
        <v>116</v>
      </c>
      <c r="DD123" s="34">
        <f t="shared" si="27"/>
        <v>1793</v>
      </c>
      <c r="DE123" t="s">
        <v>1081</v>
      </c>
      <c r="DF123" t="str">
        <f t="shared" si="28"/>
        <v>United Arab Emirates#Fund#United Arab Emirates Investment Company</v>
      </c>
      <c r="DG123" t="b">
        <f t="shared" si="29"/>
        <v>1</v>
      </c>
    </row>
    <row r="124" spans="1:111" ht="78.75" customHeight="1" x14ac:dyDescent="0.35">
      <c r="A124" s="42" t="s">
        <v>1036</v>
      </c>
      <c r="B124" s="18" t="s">
        <v>964</v>
      </c>
      <c r="C124" s="42" t="s">
        <v>141</v>
      </c>
      <c r="D124" s="43" t="s">
        <v>1082</v>
      </c>
      <c r="E124" s="42" t="s">
        <v>90</v>
      </c>
      <c r="F124" s="20" t="s">
        <v>1083</v>
      </c>
      <c r="G124" s="20" t="s">
        <v>1084</v>
      </c>
      <c r="H124" s="20" t="s">
        <v>145</v>
      </c>
      <c r="I124" s="20" t="s">
        <v>146</v>
      </c>
      <c r="J124" s="20" t="s">
        <v>1040</v>
      </c>
      <c r="K124" s="20" t="s">
        <v>96</v>
      </c>
      <c r="L124" s="20" t="s">
        <v>97</v>
      </c>
      <c r="M124" s="20" t="s">
        <v>98</v>
      </c>
      <c r="N124" s="20" t="s">
        <v>147</v>
      </c>
      <c r="O124" s="20" t="s">
        <v>148</v>
      </c>
      <c r="P124" s="20" t="s">
        <v>149</v>
      </c>
      <c r="Q124" s="20" t="s">
        <v>150</v>
      </c>
      <c r="R124" s="20" t="s">
        <v>151</v>
      </c>
      <c r="S124" s="20" t="s">
        <v>152</v>
      </c>
      <c r="T124" s="20" t="s">
        <v>153</v>
      </c>
      <c r="U124" s="20" t="s">
        <v>154</v>
      </c>
      <c r="V124" s="21" t="s">
        <v>267</v>
      </c>
      <c r="W124" s="21" t="s">
        <v>1026</v>
      </c>
      <c r="X124" s="21" t="s">
        <v>109</v>
      </c>
      <c r="Y124" s="21" t="s">
        <v>1085</v>
      </c>
      <c r="Z124" s="21" t="s">
        <v>256</v>
      </c>
      <c r="AA124" s="21" t="s">
        <v>1086</v>
      </c>
      <c r="AB124" s="21" t="s">
        <v>1087</v>
      </c>
      <c r="AC124" s="21" t="s">
        <v>1088</v>
      </c>
      <c r="AD124" s="44"/>
      <c r="AE124" s="23" t="s">
        <v>115</v>
      </c>
      <c r="AF124" s="44"/>
      <c r="AG124" s="23" t="s">
        <v>116</v>
      </c>
      <c r="AH124" s="44"/>
      <c r="AI124" s="25" t="s">
        <v>117</v>
      </c>
      <c r="AJ124" s="44"/>
      <c r="AK124" s="25" t="s">
        <v>117</v>
      </c>
      <c r="AL124" s="22">
        <v>0</v>
      </c>
      <c r="AM124" s="23" t="s">
        <v>115</v>
      </c>
      <c r="AN124" s="44"/>
      <c r="AO124" s="25" t="s">
        <v>117</v>
      </c>
      <c r="AP124" s="45" t="s">
        <v>118</v>
      </c>
      <c r="AQ124" s="23" t="s">
        <v>115</v>
      </c>
      <c r="AR124" s="46"/>
      <c r="AS124" s="23" t="s">
        <v>117</v>
      </c>
      <c r="AT124" s="45" t="s">
        <v>118</v>
      </c>
      <c r="AU124" s="23" t="s">
        <v>116</v>
      </c>
      <c r="AV124" s="45" t="s">
        <v>118</v>
      </c>
      <c r="AW124" s="23" t="s">
        <v>115</v>
      </c>
      <c r="AX124" s="45" t="s">
        <v>118</v>
      </c>
      <c r="AY124" s="23" t="s">
        <v>115</v>
      </c>
      <c r="AZ124" s="45" t="s">
        <v>118</v>
      </c>
      <c r="BA124" s="23" t="s">
        <v>115</v>
      </c>
      <c r="BB124" s="46"/>
      <c r="BC124" s="23" t="s">
        <v>115</v>
      </c>
      <c r="BD124" s="45" t="s">
        <v>118</v>
      </c>
      <c r="BE124" s="23" t="s">
        <v>115</v>
      </c>
      <c r="BF124" s="45" t="s">
        <v>118</v>
      </c>
      <c r="BG124" s="23" t="s">
        <v>115</v>
      </c>
      <c r="BH124" s="46"/>
      <c r="BI124" s="25" t="s">
        <v>117</v>
      </c>
      <c r="BJ124" s="46"/>
      <c r="BK124" s="25" t="s">
        <v>117</v>
      </c>
      <c r="BL124" s="46"/>
      <c r="BM124" s="25" t="s">
        <v>117</v>
      </c>
      <c r="BN124" s="46"/>
      <c r="BO124" s="25" t="s">
        <v>117</v>
      </c>
      <c r="BP124" s="46"/>
      <c r="BQ124" s="25" t="s">
        <v>117</v>
      </c>
      <c r="BR124" s="47">
        <v>18000</v>
      </c>
      <c r="BS124" s="25" t="s">
        <v>115</v>
      </c>
      <c r="BT124" s="46"/>
      <c r="BU124" s="25" t="s">
        <v>117</v>
      </c>
      <c r="BV124" s="46"/>
      <c r="BW124" s="25" t="s">
        <v>117</v>
      </c>
      <c r="BX124" s="46"/>
      <c r="BY124" s="25" t="s">
        <v>117</v>
      </c>
      <c r="BZ124" s="46"/>
      <c r="CA124" s="25" t="s">
        <v>117</v>
      </c>
      <c r="CB124" s="45" t="s">
        <v>159</v>
      </c>
      <c r="CC124" s="25" t="s">
        <v>116</v>
      </c>
      <c r="CD124" s="46"/>
      <c r="CE124" s="25" t="s">
        <v>117</v>
      </c>
      <c r="CF124" s="46"/>
      <c r="CG124" s="25" t="s">
        <v>117</v>
      </c>
      <c r="CH124" s="151">
        <v>5000</v>
      </c>
      <c r="CI124" s="25" t="s">
        <v>116</v>
      </c>
      <c r="CJ124" s="151">
        <v>2500</v>
      </c>
      <c r="CK124" s="48" t="s">
        <v>116</v>
      </c>
      <c r="CL124" s="46">
        <v>1500</v>
      </c>
      <c r="CM124" s="48" t="s">
        <v>116</v>
      </c>
      <c r="CN124" s="46">
        <v>1500</v>
      </c>
      <c r="CO124" s="25" t="s">
        <v>116</v>
      </c>
      <c r="CP124" s="30">
        <v>400</v>
      </c>
      <c r="CQ124" s="23" t="s">
        <v>115</v>
      </c>
      <c r="CR124" s="32"/>
      <c r="CS124" s="23" t="s">
        <v>117</v>
      </c>
      <c r="CT124" s="32"/>
      <c r="CU124" s="23" t="s">
        <v>117</v>
      </c>
      <c r="CV124" s="32"/>
      <c r="CW124" s="23" t="s">
        <v>117</v>
      </c>
      <c r="CX124" s="32"/>
      <c r="CY124" s="25" t="s">
        <v>117</v>
      </c>
      <c r="CZ124" s="32"/>
      <c r="DA124" s="25" t="s">
        <v>117</v>
      </c>
      <c r="DB124" s="33" t="s">
        <v>120</v>
      </c>
      <c r="DC124" s="25" t="s">
        <v>116</v>
      </c>
      <c r="DD124" s="34">
        <f t="shared" si="27"/>
        <v>1793</v>
      </c>
      <c r="DE124" t="s">
        <v>1089</v>
      </c>
      <c r="DF124" t="str">
        <f t="shared" si="28"/>
        <v>United Arab Emirates#Fund#United Arab Emirates Investment Trust</v>
      </c>
      <c r="DG124" t="b">
        <f t="shared" si="29"/>
        <v>1</v>
      </c>
    </row>
    <row r="125" spans="1:111" ht="78.75" customHeight="1" x14ac:dyDescent="0.35">
      <c r="A125" s="35" t="s">
        <v>1036</v>
      </c>
      <c r="B125" s="18" t="s">
        <v>964</v>
      </c>
      <c r="C125" s="35" t="s">
        <v>141</v>
      </c>
      <c r="D125" s="36" t="s">
        <v>1090</v>
      </c>
      <c r="E125" s="35" t="s">
        <v>90</v>
      </c>
      <c r="F125" s="20" t="s">
        <v>355</v>
      </c>
      <c r="G125" s="20" t="s">
        <v>1091</v>
      </c>
      <c r="H125" s="20" t="s">
        <v>145</v>
      </c>
      <c r="I125" s="20" t="s">
        <v>146</v>
      </c>
      <c r="J125" s="20" t="s">
        <v>1040</v>
      </c>
      <c r="K125" s="20" t="s">
        <v>96</v>
      </c>
      <c r="L125" s="20" t="s">
        <v>97</v>
      </c>
      <c r="M125" s="20" t="s">
        <v>98</v>
      </c>
      <c r="N125" s="20" t="s">
        <v>147</v>
      </c>
      <c r="O125" s="20" t="s">
        <v>148</v>
      </c>
      <c r="P125" s="20" t="s">
        <v>149</v>
      </c>
      <c r="Q125" s="20" t="s">
        <v>150</v>
      </c>
      <c r="R125" s="20" t="s">
        <v>151</v>
      </c>
      <c r="S125" s="20" t="s">
        <v>152</v>
      </c>
      <c r="T125" s="20" t="s">
        <v>153</v>
      </c>
      <c r="U125" s="20" t="s">
        <v>154</v>
      </c>
      <c r="V125" s="21" t="s">
        <v>292</v>
      </c>
      <c r="W125" s="21" t="s">
        <v>1026</v>
      </c>
      <c r="X125" s="21" t="s">
        <v>164</v>
      </c>
      <c r="Y125" s="21" t="s">
        <v>1092</v>
      </c>
      <c r="Z125" s="21" t="s">
        <v>111</v>
      </c>
      <c r="AA125" s="21" t="s">
        <v>166</v>
      </c>
      <c r="AB125" s="21" t="s">
        <v>1093</v>
      </c>
      <c r="AC125" s="21" t="s">
        <v>1094</v>
      </c>
      <c r="AD125" s="38"/>
      <c r="AE125" s="23" t="s">
        <v>115</v>
      </c>
      <c r="AF125" s="38"/>
      <c r="AG125" s="23" t="s">
        <v>116</v>
      </c>
      <c r="AH125" s="38"/>
      <c r="AI125" s="25" t="s">
        <v>117</v>
      </c>
      <c r="AJ125" s="38"/>
      <c r="AK125" s="25" t="s">
        <v>117</v>
      </c>
      <c r="AL125" s="22">
        <v>0</v>
      </c>
      <c r="AM125" s="23" t="s">
        <v>115</v>
      </c>
      <c r="AN125" s="38"/>
      <c r="AO125" s="25" t="s">
        <v>117</v>
      </c>
      <c r="AP125" s="39" t="s">
        <v>118</v>
      </c>
      <c r="AQ125" s="23" t="s">
        <v>115</v>
      </c>
      <c r="AR125" s="40"/>
      <c r="AS125" s="23" t="s">
        <v>117</v>
      </c>
      <c r="AT125" s="39" t="s">
        <v>118</v>
      </c>
      <c r="AU125" s="23" t="s">
        <v>116</v>
      </c>
      <c r="AV125" s="39" t="s">
        <v>118</v>
      </c>
      <c r="AW125" s="23" t="s">
        <v>115</v>
      </c>
      <c r="AX125" s="39" t="s">
        <v>118</v>
      </c>
      <c r="AY125" s="23" t="s">
        <v>115</v>
      </c>
      <c r="AZ125" s="39" t="s">
        <v>118</v>
      </c>
      <c r="BA125" s="23" t="s">
        <v>115</v>
      </c>
      <c r="BB125" s="40"/>
      <c r="BC125" s="23" t="s">
        <v>115</v>
      </c>
      <c r="BD125" s="39" t="s">
        <v>118</v>
      </c>
      <c r="BE125" s="23" t="s">
        <v>115</v>
      </c>
      <c r="BF125" s="39" t="s">
        <v>118</v>
      </c>
      <c r="BG125" s="23" t="s">
        <v>115</v>
      </c>
      <c r="BH125" s="40"/>
      <c r="BI125" s="25" t="s">
        <v>117</v>
      </c>
      <c r="BJ125" s="40"/>
      <c r="BK125" s="25" t="s">
        <v>117</v>
      </c>
      <c r="BL125" s="40"/>
      <c r="BM125" s="25" t="s">
        <v>117</v>
      </c>
      <c r="BN125" s="40"/>
      <c r="BO125" s="25" t="s">
        <v>117</v>
      </c>
      <c r="BP125" s="40"/>
      <c r="BQ125" s="25" t="s">
        <v>117</v>
      </c>
      <c r="BR125" s="37">
        <v>18000</v>
      </c>
      <c r="BS125" s="25" t="s">
        <v>115</v>
      </c>
      <c r="BT125" s="40"/>
      <c r="BU125" s="25" t="s">
        <v>117</v>
      </c>
      <c r="BV125" s="40"/>
      <c r="BW125" s="25" t="s">
        <v>117</v>
      </c>
      <c r="BX125" s="40"/>
      <c r="BY125" s="25" t="s">
        <v>117</v>
      </c>
      <c r="BZ125" s="46"/>
      <c r="CA125" s="25" t="s">
        <v>117</v>
      </c>
      <c r="CB125" s="45" t="s">
        <v>159</v>
      </c>
      <c r="CC125" s="25" t="s">
        <v>116</v>
      </c>
      <c r="CD125" s="40"/>
      <c r="CE125" s="25" t="s">
        <v>117</v>
      </c>
      <c r="CF125" s="40"/>
      <c r="CG125" s="25" t="s">
        <v>117</v>
      </c>
      <c r="CH125" s="151">
        <v>5000</v>
      </c>
      <c r="CI125" s="25" t="s">
        <v>116</v>
      </c>
      <c r="CJ125" s="151">
        <v>2500</v>
      </c>
      <c r="CK125" s="48" t="s">
        <v>116</v>
      </c>
      <c r="CL125" s="46">
        <v>1500</v>
      </c>
      <c r="CM125" s="48" t="s">
        <v>116</v>
      </c>
      <c r="CN125" s="46">
        <v>1500</v>
      </c>
      <c r="CO125" s="25" t="s">
        <v>116</v>
      </c>
      <c r="CP125" s="30">
        <v>400</v>
      </c>
      <c r="CQ125" s="23" t="s">
        <v>115</v>
      </c>
      <c r="CR125" s="32"/>
      <c r="CS125" s="23" t="s">
        <v>117</v>
      </c>
      <c r="CT125" s="32"/>
      <c r="CU125" s="23" t="s">
        <v>117</v>
      </c>
      <c r="CV125" s="32"/>
      <c r="CW125" s="23" t="s">
        <v>117</v>
      </c>
      <c r="CX125" s="32"/>
      <c r="CY125" s="25" t="s">
        <v>117</v>
      </c>
      <c r="CZ125" s="32"/>
      <c r="DA125" s="25" t="s">
        <v>117</v>
      </c>
      <c r="DB125" s="33" t="s">
        <v>120</v>
      </c>
      <c r="DC125" s="25" t="s">
        <v>116</v>
      </c>
      <c r="DD125" s="34">
        <f t="shared" si="27"/>
        <v>1793</v>
      </c>
      <c r="DE125" t="s">
        <v>1095</v>
      </c>
      <c r="DF125" t="str">
        <f t="shared" si="28"/>
        <v>United Arab Emirates#Fund#United Arab Emirates LP</v>
      </c>
      <c r="DG125" t="b">
        <f t="shared" si="29"/>
        <v>1</v>
      </c>
    </row>
    <row r="126" spans="1:111" ht="78.75" customHeight="1" x14ac:dyDescent="0.35">
      <c r="A126" s="42" t="s">
        <v>1036</v>
      </c>
      <c r="B126" s="18" t="s">
        <v>964</v>
      </c>
      <c r="C126" s="42" t="s">
        <v>141</v>
      </c>
      <c r="D126" s="43" t="s">
        <v>1096</v>
      </c>
      <c r="E126" s="42" t="s">
        <v>90</v>
      </c>
      <c r="F126" s="20" t="s">
        <v>1097</v>
      </c>
      <c r="G126" s="20" t="s">
        <v>1098</v>
      </c>
      <c r="H126" s="20" t="s">
        <v>145</v>
      </c>
      <c r="I126" s="20" t="s">
        <v>146</v>
      </c>
      <c r="J126" s="20" t="s">
        <v>1040</v>
      </c>
      <c r="K126" s="20" t="s">
        <v>96</v>
      </c>
      <c r="L126" s="20" t="s">
        <v>97</v>
      </c>
      <c r="M126" s="20" t="s">
        <v>98</v>
      </c>
      <c r="N126" s="20" t="s">
        <v>147</v>
      </c>
      <c r="O126" s="20" t="s">
        <v>148</v>
      </c>
      <c r="P126" s="20" t="s">
        <v>149</v>
      </c>
      <c r="Q126" s="20" t="s">
        <v>150</v>
      </c>
      <c r="R126" s="20" t="s">
        <v>151</v>
      </c>
      <c r="S126" s="20" t="s">
        <v>152</v>
      </c>
      <c r="T126" s="20" t="s">
        <v>153</v>
      </c>
      <c r="U126" s="20" t="s">
        <v>154</v>
      </c>
      <c r="V126" s="21" t="s">
        <v>180</v>
      </c>
      <c r="W126" s="21" t="s">
        <v>1026</v>
      </c>
      <c r="X126" s="21" t="s">
        <v>181</v>
      </c>
      <c r="Y126" s="21" t="s">
        <v>1099</v>
      </c>
      <c r="Z126" s="21" t="s">
        <v>256</v>
      </c>
      <c r="AA126" s="21" t="s">
        <v>112</v>
      </c>
      <c r="AB126" s="21" t="s">
        <v>1100</v>
      </c>
      <c r="AC126" s="21" t="s">
        <v>1101</v>
      </c>
      <c r="AD126" s="44"/>
      <c r="AE126" s="23" t="s">
        <v>115</v>
      </c>
      <c r="AF126" s="44"/>
      <c r="AG126" s="23" t="s">
        <v>116</v>
      </c>
      <c r="AH126" s="44"/>
      <c r="AI126" s="25" t="s">
        <v>117</v>
      </c>
      <c r="AJ126" s="44"/>
      <c r="AK126" s="25" t="s">
        <v>117</v>
      </c>
      <c r="AL126" s="22">
        <v>0</v>
      </c>
      <c r="AM126" s="23" t="s">
        <v>115</v>
      </c>
      <c r="AN126" s="44"/>
      <c r="AO126" s="25" t="s">
        <v>117</v>
      </c>
      <c r="AP126" s="45" t="s">
        <v>118</v>
      </c>
      <c r="AQ126" s="23" t="s">
        <v>115</v>
      </c>
      <c r="AR126" s="46"/>
      <c r="AS126" s="23" t="s">
        <v>117</v>
      </c>
      <c r="AT126" s="45" t="s">
        <v>118</v>
      </c>
      <c r="AU126" s="23" t="s">
        <v>116</v>
      </c>
      <c r="AV126" s="45" t="s">
        <v>118</v>
      </c>
      <c r="AW126" s="23" t="s">
        <v>115</v>
      </c>
      <c r="AX126" s="45" t="s">
        <v>118</v>
      </c>
      <c r="AY126" s="23" t="s">
        <v>115</v>
      </c>
      <c r="AZ126" s="45" t="s">
        <v>118</v>
      </c>
      <c r="BA126" s="23" t="s">
        <v>115</v>
      </c>
      <c r="BB126" s="46"/>
      <c r="BC126" s="23" t="s">
        <v>115</v>
      </c>
      <c r="BD126" s="45" t="s">
        <v>118</v>
      </c>
      <c r="BE126" s="23" t="s">
        <v>115</v>
      </c>
      <c r="BF126" s="45" t="s">
        <v>118</v>
      </c>
      <c r="BG126" s="23" t="s">
        <v>115</v>
      </c>
      <c r="BH126" s="46"/>
      <c r="BI126" s="25" t="s">
        <v>117</v>
      </c>
      <c r="BJ126" s="46"/>
      <c r="BK126" s="25" t="s">
        <v>117</v>
      </c>
      <c r="BL126" s="46"/>
      <c r="BM126" s="25" t="s">
        <v>117</v>
      </c>
      <c r="BN126" s="46"/>
      <c r="BO126" s="25" t="s">
        <v>117</v>
      </c>
      <c r="BP126" s="46"/>
      <c r="BQ126" s="25" t="s">
        <v>117</v>
      </c>
      <c r="BR126" s="47">
        <v>18000</v>
      </c>
      <c r="BS126" s="25" t="s">
        <v>115</v>
      </c>
      <c r="BT126" s="46"/>
      <c r="BU126" s="25" t="s">
        <v>117</v>
      </c>
      <c r="BV126" s="46"/>
      <c r="BW126" s="25" t="s">
        <v>117</v>
      </c>
      <c r="BX126" s="46"/>
      <c r="BY126" s="25" t="s">
        <v>117</v>
      </c>
      <c r="BZ126" s="46"/>
      <c r="CA126" s="25" t="s">
        <v>117</v>
      </c>
      <c r="CB126" s="45" t="s">
        <v>159</v>
      </c>
      <c r="CC126" s="25" t="s">
        <v>116</v>
      </c>
      <c r="CD126" s="46"/>
      <c r="CE126" s="25" t="s">
        <v>117</v>
      </c>
      <c r="CF126" s="46"/>
      <c r="CG126" s="25" t="s">
        <v>117</v>
      </c>
      <c r="CH126" s="151">
        <v>5000</v>
      </c>
      <c r="CI126" s="25" t="s">
        <v>116</v>
      </c>
      <c r="CJ126" s="151">
        <v>2500</v>
      </c>
      <c r="CK126" s="48" t="s">
        <v>116</v>
      </c>
      <c r="CL126" s="46">
        <v>1500</v>
      </c>
      <c r="CM126" s="48" t="s">
        <v>116</v>
      </c>
      <c r="CN126" s="46">
        <v>1500</v>
      </c>
      <c r="CO126" s="25" t="s">
        <v>116</v>
      </c>
      <c r="CP126" s="30">
        <v>400</v>
      </c>
      <c r="CQ126" s="23" t="s">
        <v>115</v>
      </c>
      <c r="CR126" s="32"/>
      <c r="CS126" s="23" t="s">
        <v>117</v>
      </c>
      <c r="CT126" s="32"/>
      <c r="CU126" s="23" t="s">
        <v>117</v>
      </c>
      <c r="CV126" s="32"/>
      <c r="CW126" s="23" t="s">
        <v>117</v>
      </c>
      <c r="CX126" s="32"/>
      <c r="CY126" s="25" t="s">
        <v>117</v>
      </c>
      <c r="CZ126" s="32"/>
      <c r="DA126" s="25" t="s">
        <v>117</v>
      </c>
      <c r="DB126" s="33" t="s">
        <v>120</v>
      </c>
      <c r="DC126" s="25" t="s">
        <v>116</v>
      </c>
      <c r="DD126" s="34">
        <f t="shared" si="27"/>
        <v>1793</v>
      </c>
      <c r="DE126" t="s">
        <v>1102</v>
      </c>
      <c r="DF126" t="str">
        <f t="shared" si="28"/>
        <v>United Arab Emirates#Fund#United Arab Emirates PCC</v>
      </c>
      <c r="DG126" t="b">
        <f t="shared" si="29"/>
        <v>1</v>
      </c>
    </row>
    <row r="127" spans="1:111" ht="78.75" customHeight="1" x14ac:dyDescent="0.35">
      <c r="A127" s="35" t="s">
        <v>1036</v>
      </c>
      <c r="B127" s="18" t="s">
        <v>964</v>
      </c>
      <c r="C127" s="35" t="s">
        <v>141</v>
      </c>
      <c r="D127" s="36" t="s">
        <v>1103</v>
      </c>
      <c r="E127" s="35" t="s">
        <v>90</v>
      </c>
      <c r="F127" s="20" t="s">
        <v>1104</v>
      </c>
      <c r="G127" s="20" t="s">
        <v>1105</v>
      </c>
      <c r="H127" s="20" t="s">
        <v>145</v>
      </c>
      <c r="I127" s="20" t="s">
        <v>146</v>
      </c>
      <c r="J127" s="20" t="s">
        <v>1040</v>
      </c>
      <c r="K127" s="20" t="s">
        <v>96</v>
      </c>
      <c r="L127" s="20" t="s">
        <v>97</v>
      </c>
      <c r="M127" s="20" t="s">
        <v>98</v>
      </c>
      <c r="N127" s="20" t="s">
        <v>147</v>
      </c>
      <c r="O127" s="20" t="s">
        <v>148</v>
      </c>
      <c r="P127" s="20" t="s">
        <v>149</v>
      </c>
      <c r="Q127" s="20" t="s">
        <v>150</v>
      </c>
      <c r="R127" s="20" t="s">
        <v>151</v>
      </c>
      <c r="S127" s="20" t="s">
        <v>152</v>
      </c>
      <c r="T127" s="20" t="s">
        <v>153</v>
      </c>
      <c r="U127" s="20" t="s">
        <v>154</v>
      </c>
      <c r="V127" s="21" t="s">
        <v>180</v>
      </c>
      <c r="W127" s="21" t="s">
        <v>1026</v>
      </c>
      <c r="X127" s="21" t="s">
        <v>1106</v>
      </c>
      <c r="Y127" s="21" t="s">
        <v>1099</v>
      </c>
      <c r="Z127" s="21" t="s">
        <v>256</v>
      </c>
      <c r="AA127" s="21" t="s">
        <v>112</v>
      </c>
      <c r="AB127" s="21" t="s">
        <v>1107</v>
      </c>
      <c r="AC127" s="21" t="s">
        <v>1108</v>
      </c>
      <c r="AD127" s="38"/>
      <c r="AE127" s="23" t="s">
        <v>115</v>
      </c>
      <c r="AF127" s="38"/>
      <c r="AG127" s="23" t="s">
        <v>116</v>
      </c>
      <c r="AH127" s="38"/>
      <c r="AI127" s="25" t="s">
        <v>117</v>
      </c>
      <c r="AJ127" s="38"/>
      <c r="AK127" s="25" t="s">
        <v>117</v>
      </c>
      <c r="AL127" s="22">
        <v>0</v>
      </c>
      <c r="AM127" s="23" t="s">
        <v>115</v>
      </c>
      <c r="AN127" s="38"/>
      <c r="AO127" s="25" t="s">
        <v>117</v>
      </c>
      <c r="AP127" s="39" t="s">
        <v>118</v>
      </c>
      <c r="AQ127" s="23" t="s">
        <v>115</v>
      </c>
      <c r="AR127" s="40"/>
      <c r="AS127" s="23" t="s">
        <v>117</v>
      </c>
      <c r="AT127" s="39" t="s">
        <v>118</v>
      </c>
      <c r="AU127" s="23" t="s">
        <v>116</v>
      </c>
      <c r="AV127" s="39" t="s">
        <v>118</v>
      </c>
      <c r="AW127" s="23" t="s">
        <v>115</v>
      </c>
      <c r="AX127" s="39" t="s">
        <v>118</v>
      </c>
      <c r="AY127" s="23" t="s">
        <v>115</v>
      </c>
      <c r="AZ127" s="39" t="s">
        <v>118</v>
      </c>
      <c r="BA127" s="23" t="s">
        <v>115</v>
      </c>
      <c r="BB127" s="40"/>
      <c r="BC127" s="23" t="s">
        <v>115</v>
      </c>
      <c r="BD127" s="39" t="s">
        <v>118</v>
      </c>
      <c r="BE127" s="23" t="s">
        <v>115</v>
      </c>
      <c r="BF127" s="39" t="s">
        <v>118</v>
      </c>
      <c r="BG127" s="23" t="s">
        <v>115</v>
      </c>
      <c r="BH127" s="40"/>
      <c r="BI127" s="25" t="s">
        <v>117</v>
      </c>
      <c r="BJ127" s="40"/>
      <c r="BK127" s="25" t="s">
        <v>117</v>
      </c>
      <c r="BL127" s="40"/>
      <c r="BM127" s="25" t="s">
        <v>117</v>
      </c>
      <c r="BN127" s="40"/>
      <c r="BO127" s="25" t="s">
        <v>117</v>
      </c>
      <c r="BP127" s="40"/>
      <c r="BQ127" s="25" t="s">
        <v>117</v>
      </c>
      <c r="BR127" s="37">
        <v>18000</v>
      </c>
      <c r="BS127" s="25" t="s">
        <v>115</v>
      </c>
      <c r="BT127" s="40"/>
      <c r="BU127" s="25" t="s">
        <v>117</v>
      </c>
      <c r="BV127" s="40"/>
      <c r="BW127" s="25" t="s">
        <v>117</v>
      </c>
      <c r="BX127" s="40"/>
      <c r="BY127" s="25" t="s">
        <v>117</v>
      </c>
      <c r="BZ127" s="46"/>
      <c r="CA127" s="25" t="s">
        <v>117</v>
      </c>
      <c r="CB127" s="45" t="s">
        <v>159</v>
      </c>
      <c r="CC127" s="25" t="s">
        <v>116</v>
      </c>
      <c r="CD127" s="40"/>
      <c r="CE127" s="25" t="s">
        <v>117</v>
      </c>
      <c r="CF127" s="40"/>
      <c r="CG127" s="25" t="s">
        <v>117</v>
      </c>
      <c r="CH127" s="151">
        <v>5000</v>
      </c>
      <c r="CI127" s="25" t="s">
        <v>116</v>
      </c>
      <c r="CJ127" s="151">
        <v>2500</v>
      </c>
      <c r="CK127" s="23" t="s">
        <v>116</v>
      </c>
      <c r="CL127" s="46">
        <v>1500</v>
      </c>
      <c r="CM127" s="48" t="s">
        <v>116</v>
      </c>
      <c r="CN127" s="46">
        <v>1500</v>
      </c>
      <c r="CO127" s="25" t="s">
        <v>116</v>
      </c>
      <c r="CP127" s="30">
        <v>400</v>
      </c>
      <c r="CQ127" s="23" t="s">
        <v>115</v>
      </c>
      <c r="CR127" s="32"/>
      <c r="CS127" s="23" t="s">
        <v>117</v>
      </c>
      <c r="CT127" s="32"/>
      <c r="CU127" s="23" t="s">
        <v>117</v>
      </c>
      <c r="CV127" s="32"/>
      <c r="CW127" s="23" t="s">
        <v>117</v>
      </c>
      <c r="CX127" s="32"/>
      <c r="CY127" s="25" t="s">
        <v>117</v>
      </c>
      <c r="CZ127" s="32"/>
      <c r="DA127" s="25" t="s">
        <v>117</v>
      </c>
      <c r="DB127" s="33" t="s">
        <v>120</v>
      </c>
      <c r="DC127" s="25" t="s">
        <v>116</v>
      </c>
      <c r="DD127" s="34">
        <f t="shared" si="27"/>
        <v>1793</v>
      </c>
      <c r="DE127" t="s">
        <v>1109</v>
      </c>
      <c r="DF127" t="str">
        <f t="shared" si="28"/>
        <v>United Arab Emirates#Fund#United Arab Emirates ICC</v>
      </c>
      <c r="DG127" t="b">
        <f t="shared" si="29"/>
        <v>1</v>
      </c>
    </row>
    <row r="128" spans="1:111" ht="78.75" hidden="1" customHeight="1" x14ac:dyDescent="0.35">
      <c r="A128" s="184" t="s">
        <v>1110</v>
      </c>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c r="AA128" s="184"/>
      <c r="AB128" s="184"/>
      <c r="AC128" s="184"/>
      <c r="AD128" s="184"/>
      <c r="AE128" s="184"/>
      <c r="AF128" s="184"/>
      <c r="AG128" s="184"/>
      <c r="AH128" s="184"/>
      <c r="AI128" s="184"/>
      <c r="AJ128" s="184"/>
      <c r="AK128" s="184"/>
      <c r="AL128" s="184"/>
      <c r="AM128" s="184"/>
      <c r="AN128" s="184"/>
      <c r="AO128" s="184"/>
      <c r="AP128" s="184"/>
      <c r="AQ128" s="184"/>
      <c r="AR128" s="184"/>
      <c r="AS128" s="184"/>
      <c r="AT128" s="184"/>
      <c r="AU128" s="184"/>
      <c r="AV128" s="184"/>
      <c r="AW128" s="184"/>
      <c r="AX128" s="184"/>
      <c r="AY128" s="184"/>
      <c r="AZ128" s="184"/>
      <c r="BA128" s="184"/>
      <c r="BB128" s="184"/>
      <c r="BC128" s="184"/>
      <c r="BD128" s="184"/>
      <c r="BE128" s="184"/>
      <c r="BF128" s="184"/>
      <c r="BG128" s="184"/>
      <c r="BH128" s="184"/>
      <c r="BI128" s="184"/>
      <c r="BJ128" s="184"/>
      <c r="BK128" s="184"/>
      <c r="BL128" s="184"/>
      <c r="BM128" s="184"/>
      <c r="BN128" s="184"/>
      <c r="BO128" s="184"/>
      <c r="BP128" s="184"/>
      <c r="BQ128" s="184"/>
      <c r="BR128" s="184"/>
      <c r="BS128" s="184"/>
      <c r="BT128" s="184"/>
      <c r="BU128" s="184"/>
      <c r="BV128" s="184"/>
      <c r="BW128" s="184"/>
      <c r="BX128" s="184"/>
      <c r="BY128" s="184"/>
      <c r="BZ128" s="184"/>
      <c r="CA128" s="184"/>
      <c r="CB128" s="184"/>
      <c r="CC128" s="184"/>
      <c r="CD128" s="184"/>
      <c r="CE128" s="184"/>
      <c r="CF128" s="184"/>
      <c r="CG128" s="184"/>
      <c r="CH128" s="184"/>
      <c r="CI128" s="184"/>
      <c r="CJ128" s="184"/>
      <c r="CK128" s="184"/>
      <c r="CL128" s="184"/>
      <c r="CM128" s="184"/>
      <c r="CN128" s="184"/>
      <c r="CO128" s="184"/>
      <c r="CP128" s="184"/>
      <c r="CQ128" s="184"/>
      <c r="CR128" s="184"/>
      <c r="CS128" s="184"/>
      <c r="CT128" s="184"/>
      <c r="CU128" s="184"/>
      <c r="CV128" s="184"/>
      <c r="CW128" s="184"/>
      <c r="CX128" s="184"/>
      <c r="CY128" s="184"/>
      <c r="CZ128" s="184"/>
      <c r="DA128" s="184"/>
      <c r="DB128" s="184"/>
      <c r="DC128" s="184"/>
      <c r="DE128" t="s">
        <v>85</v>
      </c>
      <c r="DF128" t="str">
        <f>A122&amp;"#"&amp;C122&amp;"#"&amp;D122</f>
        <v>United Arab Emirates#Company#United Arab Emirates UAE Others</v>
      </c>
    </row>
    <row r="129" spans="1:111" ht="78.75" hidden="1" customHeight="1" x14ac:dyDescent="0.35">
      <c r="A129" s="72" t="s">
        <v>1111</v>
      </c>
      <c r="B129" s="18" t="s">
        <v>1112</v>
      </c>
      <c r="C129" s="72" t="s">
        <v>88</v>
      </c>
      <c r="D129" s="73" t="s">
        <v>1113</v>
      </c>
      <c r="E129" s="72" t="s">
        <v>90</v>
      </c>
      <c r="F129" s="20" t="s">
        <v>876</v>
      </c>
      <c r="G129" s="20" t="s">
        <v>1114</v>
      </c>
      <c r="H129" s="20" t="s">
        <v>93</v>
      </c>
      <c r="I129" s="20" t="s">
        <v>878</v>
      </c>
      <c r="J129" s="20" t="s">
        <v>1115</v>
      </c>
      <c r="K129" s="20" t="s">
        <v>96</v>
      </c>
      <c r="L129" s="20" t="s">
        <v>97</v>
      </c>
      <c r="M129" s="20" t="s">
        <v>98</v>
      </c>
      <c r="N129" s="20" t="s">
        <v>1116</v>
      </c>
      <c r="O129" s="20" t="s">
        <v>100</v>
      </c>
      <c r="P129" s="20" t="s">
        <v>101</v>
      </c>
      <c r="Q129" s="20" t="s">
        <v>102</v>
      </c>
      <c r="R129" s="20" t="s">
        <v>515</v>
      </c>
      <c r="S129" s="20" t="s">
        <v>516</v>
      </c>
      <c r="T129" s="20" t="s">
        <v>105</v>
      </c>
      <c r="U129" s="20" t="s">
        <v>517</v>
      </c>
      <c r="V129" s="21" t="s">
        <v>518</v>
      </c>
      <c r="W129" s="21" t="s">
        <v>108</v>
      </c>
      <c r="X129" s="21" t="s">
        <v>109</v>
      </c>
      <c r="Y129" s="21" t="s">
        <v>1117</v>
      </c>
      <c r="Z129" s="21" t="s">
        <v>256</v>
      </c>
      <c r="AA129" s="21" t="s">
        <v>191</v>
      </c>
      <c r="AB129" s="21" t="s">
        <v>1118</v>
      </c>
      <c r="AC129" s="21" t="s">
        <v>1119</v>
      </c>
      <c r="AD129" s="61">
        <v>2050</v>
      </c>
      <c r="AE129" s="23" t="s">
        <v>115</v>
      </c>
      <c r="AF129" s="74"/>
      <c r="AG129" s="23" t="s">
        <v>116</v>
      </c>
      <c r="AH129" s="74"/>
      <c r="AI129" s="25" t="s">
        <v>117</v>
      </c>
      <c r="AJ129" s="74"/>
      <c r="AK129" s="25" t="s">
        <v>117</v>
      </c>
      <c r="AL129" s="22">
        <v>0</v>
      </c>
      <c r="AM129" s="23" t="s">
        <v>115</v>
      </c>
      <c r="AN129" s="74"/>
      <c r="AO129" s="25" t="s">
        <v>117</v>
      </c>
      <c r="AP129" s="61">
        <v>3810</v>
      </c>
      <c r="AQ129" s="23" t="s">
        <v>115</v>
      </c>
      <c r="AR129" s="74"/>
      <c r="AS129" s="23" t="s">
        <v>117</v>
      </c>
      <c r="AT129" s="58" t="s">
        <v>118</v>
      </c>
      <c r="AU129" s="23" t="s">
        <v>116</v>
      </c>
      <c r="AV129" s="61">
        <v>1840</v>
      </c>
      <c r="AW129" s="23" t="s">
        <v>115</v>
      </c>
      <c r="AX129" s="58" t="s">
        <v>118</v>
      </c>
      <c r="AY129" s="23" t="s">
        <v>115</v>
      </c>
      <c r="AZ129" s="61">
        <v>250</v>
      </c>
      <c r="BA129" s="23" t="s">
        <v>115</v>
      </c>
      <c r="BB129" s="74"/>
      <c r="BC129" s="23" t="s">
        <v>115</v>
      </c>
      <c r="BD129" s="58" t="s">
        <v>118</v>
      </c>
      <c r="BE129" s="23" t="s">
        <v>115</v>
      </c>
      <c r="BF129" s="58" t="s">
        <v>118</v>
      </c>
      <c r="BG129" s="23" t="s">
        <v>115</v>
      </c>
      <c r="BH129" s="75"/>
      <c r="BI129" s="25" t="s">
        <v>117</v>
      </c>
      <c r="BJ129" s="75"/>
      <c r="BK129" s="25" t="s">
        <v>117</v>
      </c>
      <c r="BL129" s="75"/>
      <c r="BM129" s="25" t="s">
        <v>117</v>
      </c>
      <c r="BN129" s="75"/>
      <c r="BO129" s="25" t="s">
        <v>117</v>
      </c>
      <c r="BP129" s="75"/>
      <c r="BQ129" s="25" t="s">
        <v>117</v>
      </c>
      <c r="BR129" s="75"/>
      <c r="BS129" s="25" t="s">
        <v>117</v>
      </c>
      <c r="BT129" s="75"/>
      <c r="BU129" s="25" t="s">
        <v>117</v>
      </c>
      <c r="BV129" s="75"/>
      <c r="BW129" s="25" t="s">
        <v>117</v>
      </c>
      <c r="BX129" s="75"/>
      <c r="BY129" s="25" t="s">
        <v>117</v>
      </c>
      <c r="BZ129" s="75"/>
      <c r="CA129" s="25" t="s">
        <v>117</v>
      </c>
      <c r="CB129" s="75"/>
      <c r="CC129" s="25" t="s">
        <v>117</v>
      </c>
      <c r="CD129" s="75"/>
      <c r="CE129" s="25" t="s">
        <v>117</v>
      </c>
      <c r="CF129" s="75"/>
      <c r="CG129" s="25" t="s">
        <v>117</v>
      </c>
      <c r="CH129" s="75"/>
      <c r="CI129" s="25"/>
      <c r="CJ129" s="75"/>
      <c r="CK129" s="62" t="s">
        <v>117</v>
      </c>
      <c r="CL129" s="75"/>
      <c r="CM129" s="62" t="s">
        <v>117</v>
      </c>
      <c r="CN129" s="75"/>
      <c r="CO129" s="25" t="s">
        <v>117</v>
      </c>
      <c r="CP129" s="30">
        <v>400</v>
      </c>
      <c r="CQ129" s="23" t="s">
        <v>115</v>
      </c>
      <c r="CR129" s="32"/>
      <c r="CS129" s="23" t="s">
        <v>117</v>
      </c>
      <c r="CT129" s="32"/>
      <c r="CU129" s="23" t="s">
        <v>117</v>
      </c>
      <c r="CV129" s="32"/>
      <c r="CW129" s="23" t="s">
        <v>117</v>
      </c>
      <c r="CX129" s="32"/>
      <c r="CY129" s="25" t="s">
        <v>117</v>
      </c>
      <c r="CZ129" s="32"/>
      <c r="DA129" s="25" t="s">
        <v>117</v>
      </c>
      <c r="DB129" s="33" t="s">
        <v>120</v>
      </c>
      <c r="DC129" s="25" t="s">
        <v>116</v>
      </c>
      <c r="DD129" s="34">
        <f>ROUND(0.075*SUM(AD129,AF129,AH129,AJ129,AL129,AN129,AP129,AR129,AT129,AV129,AX129,AZ129,BB129,BR129,BT129,BV129,BX129,BZ129,CB129,CD129,CF129,CJ129,CL129,CN129,CP129,CR129,CT129,CV129,CX129,CZ129),0)</f>
        <v>626</v>
      </c>
      <c r="DE129" t="s">
        <v>1120</v>
      </c>
      <c r="DF129" t="str">
        <f>A129&amp;"#"&amp;C129&amp;"#"&amp;D129</f>
        <v>Florida#Company#Florida LLC multi-member Non-US Manager</v>
      </c>
      <c r="DG129" t="b">
        <f>DE129=DF129</f>
        <v>1</v>
      </c>
    </row>
    <row r="130" spans="1:111" ht="55.9" hidden="1" customHeight="1" x14ac:dyDescent="0.35">
      <c r="A130" s="18" t="s">
        <v>1111</v>
      </c>
      <c r="B130" s="18" t="s">
        <v>1112</v>
      </c>
      <c r="C130" s="18" t="s">
        <v>88</v>
      </c>
      <c r="D130" s="19" t="s">
        <v>1121</v>
      </c>
      <c r="E130" s="18" t="s">
        <v>90</v>
      </c>
      <c r="F130" s="20" t="s">
        <v>887</v>
      </c>
      <c r="G130" s="20" t="s">
        <v>1122</v>
      </c>
      <c r="H130" s="20" t="s">
        <v>93</v>
      </c>
      <c r="I130" s="20" t="s">
        <v>878</v>
      </c>
      <c r="J130" s="20" t="s">
        <v>1115</v>
      </c>
      <c r="K130" s="20" t="s">
        <v>96</v>
      </c>
      <c r="L130" s="20" t="s">
        <v>97</v>
      </c>
      <c r="M130" s="20" t="s">
        <v>98</v>
      </c>
      <c r="N130" s="20" t="s">
        <v>1116</v>
      </c>
      <c r="O130" s="20" t="s">
        <v>100</v>
      </c>
      <c r="P130" s="20" t="s">
        <v>101</v>
      </c>
      <c r="Q130" s="20" t="s">
        <v>102</v>
      </c>
      <c r="R130" s="20" t="s">
        <v>515</v>
      </c>
      <c r="S130" s="20" t="s">
        <v>516</v>
      </c>
      <c r="T130" s="20" t="s">
        <v>105</v>
      </c>
      <c r="U130" s="20" t="s">
        <v>517</v>
      </c>
      <c r="V130" s="21" t="s">
        <v>518</v>
      </c>
      <c r="W130" s="21" t="s">
        <v>108</v>
      </c>
      <c r="X130" s="21" t="s">
        <v>109</v>
      </c>
      <c r="Y130" s="21" t="s">
        <v>1117</v>
      </c>
      <c r="Z130" s="21" t="s">
        <v>256</v>
      </c>
      <c r="AA130" s="21" t="s">
        <v>191</v>
      </c>
      <c r="AB130" s="21" t="s">
        <v>1123</v>
      </c>
      <c r="AC130" s="21" t="s">
        <v>1124</v>
      </c>
      <c r="AD130" s="22">
        <v>2050</v>
      </c>
      <c r="AE130" s="23" t="s">
        <v>115</v>
      </c>
      <c r="AF130" s="24"/>
      <c r="AG130" s="23" t="s">
        <v>116</v>
      </c>
      <c r="AH130" s="24"/>
      <c r="AI130" s="25" t="s">
        <v>117</v>
      </c>
      <c r="AJ130" s="24"/>
      <c r="AK130" s="25" t="s">
        <v>117</v>
      </c>
      <c r="AL130" s="22">
        <v>0</v>
      </c>
      <c r="AM130" s="23" t="s">
        <v>115</v>
      </c>
      <c r="AN130" s="24"/>
      <c r="AO130" s="25" t="s">
        <v>117</v>
      </c>
      <c r="AP130" s="22">
        <v>3810</v>
      </c>
      <c r="AQ130" s="23" t="s">
        <v>115</v>
      </c>
      <c r="AR130" s="24"/>
      <c r="AS130" s="23" t="s">
        <v>117</v>
      </c>
      <c r="AT130" s="27" t="s">
        <v>118</v>
      </c>
      <c r="AU130" s="23" t="s">
        <v>116</v>
      </c>
      <c r="AV130" s="22">
        <v>1840</v>
      </c>
      <c r="AW130" s="23" t="s">
        <v>115</v>
      </c>
      <c r="AX130" s="27" t="s">
        <v>118</v>
      </c>
      <c r="AY130" s="23" t="s">
        <v>115</v>
      </c>
      <c r="AZ130" s="22">
        <v>250</v>
      </c>
      <c r="BA130" s="23" t="s">
        <v>115</v>
      </c>
      <c r="BB130" s="24"/>
      <c r="BC130" s="23" t="s">
        <v>115</v>
      </c>
      <c r="BD130" s="27" t="s">
        <v>118</v>
      </c>
      <c r="BE130" s="23" t="s">
        <v>115</v>
      </c>
      <c r="BF130" s="26">
        <v>180</v>
      </c>
      <c r="BG130" s="23" t="s">
        <v>115</v>
      </c>
      <c r="BH130" s="28"/>
      <c r="BI130" s="25" t="s">
        <v>117</v>
      </c>
      <c r="BJ130" s="28"/>
      <c r="BK130" s="25" t="s">
        <v>117</v>
      </c>
      <c r="BL130" s="28"/>
      <c r="BM130" s="25" t="s">
        <v>117</v>
      </c>
      <c r="BN130" s="28"/>
      <c r="BO130" s="25" t="s">
        <v>117</v>
      </c>
      <c r="BP130" s="28"/>
      <c r="BQ130" s="25" t="s">
        <v>117</v>
      </c>
      <c r="BR130" s="28"/>
      <c r="BS130" s="25" t="s">
        <v>117</v>
      </c>
      <c r="BT130" s="28"/>
      <c r="BU130" s="25" t="s">
        <v>117</v>
      </c>
      <c r="BV130" s="28"/>
      <c r="BW130" s="25" t="s">
        <v>117</v>
      </c>
      <c r="BX130" s="28"/>
      <c r="BY130" s="25" t="s">
        <v>117</v>
      </c>
      <c r="BZ130" s="28"/>
      <c r="CA130" s="25" t="s">
        <v>117</v>
      </c>
      <c r="CB130" s="28"/>
      <c r="CC130" s="25" t="s">
        <v>117</v>
      </c>
      <c r="CD130" s="28"/>
      <c r="CE130" s="25" t="s">
        <v>117</v>
      </c>
      <c r="CF130" s="28"/>
      <c r="CG130" s="25" t="s">
        <v>117</v>
      </c>
      <c r="CH130" s="28"/>
      <c r="CI130" s="25"/>
      <c r="CJ130" s="28"/>
      <c r="CK130" s="29" t="s">
        <v>117</v>
      </c>
      <c r="CL130" s="28"/>
      <c r="CM130" s="29" t="s">
        <v>117</v>
      </c>
      <c r="CN130" s="28"/>
      <c r="CO130" s="25" t="s">
        <v>117</v>
      </c>
      <c r="CP130" s="30">
        <v>400</v>
      </c>
      <c r="CQ130" s="23" t="s">
        <v>115</v>
      </c>
      <c r="CR130" s="32"/>
      <c r="CS130" s="23" t="s">
        <v>117</v>
      </c>
      <c r="CT130" s="32"/>
      <c r="CU130" s="23" t="s">
        <v>117</v>
      </c>
      <c r="CV130" s="32"/>
      <c r="CW130" s="23" t="s">
        <v>117</v>
      </c>
      <c r="CX130" s="32"/>
      <c r="CY130" s="25" t="s">
        <v>117</v>
      </c>
      <c r="CZ130" s="32"/>
      <c r="DA130" s="25" t="s">
        <v>117</v>
      </c>
      <c r="DB130" s="33" t="s">
        <v>120</v>
      </c>
      <c r="DC130" s="25" t="s">
        <v>116</v>
      </c>
      <c r="DD130" s="34">
        <f>ROUND(0.075*SUM(AD130,AF130,AH130,AJ130,AL130,AN130,AP130,AR130,AT130,AV130,AX130,AZ130,BB130,BR130,BT130,BV130,BX130,BZ130,CB130,CD130,CF130,CJ130,CL130,CN130,CP130,CR130,CT130,CV130,CX130,CZ130),0)</f>
        <v>626</v>
      </c>
      <c r="DE130" t="s">
        <v>1125</v>
      </c>
      <c r="DF130" t="str">
        <f>A130&amp;"#"&amp;C130&amp;"#"&amp;D130</f>
        <v>Florida#Company#Florida LLC multi-member US Manager</v>
      </c>
      <c r="DG130" t="b">
        <f>DE130=DF130</f>
        <v>1</v>
      </c>
    </row>
    <row r="131" spans="1:111" ht="78.75" hidden="1" customHeight="1" x14ac:dyDescent="0.35">
      <c r="A131" s="72" t="s">
        <v>1111</v>
      </c>
      <c r="B131" s="18" t="s">
        <v>1112</v>
      </c>
      <c r="C131" s="72" t="s">
        <v>88</v>
      </c>
      <c r="D131" s="73" t="s">
        <v>1126</v>
      </c>
      <c r="E131" s="72" t="s">
        <v>90</v>
      </c>
      <c r="F131" s="20" t="s">
        <v>894</v>
      </c>
      <c r="G131" s="20" t="s">
        <v>1127</v>
      </c>
      <c r="H131" s="20" t="s">
        <v>93</v>
      </c>
      <c r="I131" s="20" t="s">
        <v>878</v>
      </c>
      <c r="J131" s="20" t="s">
        <v>1115</v>
      </c>
      <c r="K131" s="20" t="s">
        <v>96</v>
      </c>
      <c r="L131" s="20" t="s">
        <v>97</v>
      </c>
      <c r="M131" s="20" t="s">
        <v>98</v>
      </c>
      <c r="N131" s="20" t="s">
        <v>1116</v>
      </c>
      <c r="O131" s="20" t="s">
        <v>100</v>
      </c>
      <c r="P131" s="20" t="s">
        <v>101</v>
      </c>
      <c r="Q131" s="20" t="s">
        <v>102</v>
      </c>
      <c r="R131" s="20" t="s">
        <v>515</v>
      </c>
      <c r="S131" s="20" t="s">
        <v>516</v>
      </c>
      <c r="T131" s="20" t="s">
        <v>105</v>
      </c>
      <c r="U131" s="20" t="s">
        <v>517</v>
      </c>
      <c r="V131" s="21" t="s">
        <v>518</v>
      </c>
      <c r="W131" s="21" t="s">
        <v>108</v>
      </c>
      <c r="X131" s="21" t="s">
        <v>109</v>
      </c>
      <c r="Y131" s="21" t="s">
        <v>1117</v>
      </c>
      <c r="Z131" s="21" t="s">
        <v>256</v>
      </c>
      <c r="AA131" s="21" t="s">
        <v>112</v>
      </c>
      <c r="AB131" s="21" t="s">
        <v>1128</v>
      </c>
      <c r="AC131" s="21" t="s">
        <v>1129</v>
      </c>
      <c r="AD131" s="61">
        <v>2050</v>
      </c>
      <c r="AE131" s="23" t="s">
        <v>115</v>
      </c>
      <c r="AF131" s="74"/>
      <c r="AG131" s="23" t="s">
        <v>116</v>
      </c>
      <c r="AH131" s="74"/>
      <c r="AI131" s="25" t="s">
        <v>117</v>
      </c>
      <c r="AJ131" s="74"/>
      <c r="AK131" s="25" t="s">
        <v>117</v>
      </c>
      <c r="AL131" s="22">
        <v>0</v>
      </c>
      <c r="AM131" s="23" t="s">
        <v>115</v>
      </c>
      <c r="AN131" s="74"/>
      <c r="AO131" s="25" t="s">
        <v>117</v>
      </c>
      <c r="AP131" s="61">
        <v>3810</v>
      </c>
      <c r="AQ131" s="23" t="s">
        <v>115</v>
      </c>
      <c r="AR131" s="74"/>
      <c r="AS131" s="23" t="s">
        <v>117</v>
      </c>
      <c r="AT131" s="58" t="s">
        <v>118</v>
      </c>
      <c r="AU131" s="23" t="s">
        <v>116</v>
      </c>
      <c r="AV131" s="61">
        <v>1840</v>
      </c>
      <c r="AW131" s="23" t="s">
        <v>115</v>
      </c>
      <c r="AX131" s="58" t="s">
        <v>118</v>
      </c>
      <c r="AY131" s="23" t="s">
        <v>115</v>
      </c>
      <c r="AZ131" s="61">
        <v>250</v>
      </c>
      <c r="BA131" s="23" t="s">
        <v>115</v>
      </c>
      <c r="BB131" s="74"/>
      <c r="BC131" s="23" t="s">
        <v>115</v>
      </c>
      <c r="BD131" s="58" t="s">
        <v>118</v>
      </c>
      <c r="BE131" s="23" t="s">
        <v>115</v>
      </c>
      <c r="BF131" s="26">
        <v>180</v>
      </c>
      <c r="BG131" s="23" t="s">
        <v>115</v>
      </c>
      <c r="BH131" s="75"/>
      <c r="BI131" s="25" t="s">
        <v>117</v>
      </c>
      <c r="BJ131" s="75"/>
      <c r="BK131" s="25" t="s">
        <v>117</v>
      </c>
      <c r="BL131" s="75"/>
      <c r="BM131" s="25" t="s">
        <v>117</v>
      </c>
      <c r="BN131" s="75"/>
      <c r="BO131" s="25" t="s">
        <v>117</v>
      </c>
      <c r="BP131" s="75"/>
      <c r="BQ131" s="25" t="s">
        <v>117</v>
      </c>
      <c r="BR131" s="75"/>
      <c r="BS131" s="25" t="s">
        <v>117</v>
      </c>
      <c r="BT131" s="75"/>
      <c r="BU131" s="25" t="s">
        <v>117</v>
      </c>
      <c r="BV131" s="75"/>
      <c r="BW131" s="25" t="s">
        <v>117</v>
      </c>
      <c r="BX131" s="75"/>
      <c r="BY131" s="25" t="s">
        <v>117</v>
      </c>
      <c r="BZ131" s="75"/>
      <c r="CA131" s="25" t="s">
        <v>117</v>
      </c>
      <c r="CB131" s="75"/>
      <c r="CC131" s="25" t="s">
        <v>117</v>
      </c>
      <c r="CD131" s="75"/>
      <c r="CE131" s="25" t="s">
        <v>117</v>
      </c>
      <c r="CF131" s="75"/>
      <c r="CG131" s="25" t="s">
        <v>117</v>
      </c>
      <c r="CH131" s="75"/>
      <c r="CI131" s="25"/>
      <c r="CJ131" s="75"/>
      <c r="CK131" s="62" t="s">
        <v>117</v>
      </c>
      <c r="CL131" s="75"/>
      <c r="CM131" s="62" t="s">
        <v>117</v>
      </c>
      <c r="CN131" s="75"/>
      <c r="CO131" s="25" t="s">
        <v>117</v>
      </c>
      <c r="CP131" s="30">
        <v>400</v>
      </c>
      <c r="CQ131" s="23" t="s">
        <v>115</v>
      </c>
      <c r="CR131" s="32"/>
      <c r="CS131" s="23" t="s">
        <v>117</v>
      </c>
      <c r="CT131" s="32"/>
      <c r="CU131" s="23" t="s">
        <v>117</v>
      </c>
      <c r="CV131" s="32"/>
      <c r="CW131" s="23" t="s">
        <v>117</v>
      </c>
      <c r="CX131" s="32"/>
      <c r="CY131" s="25" t="s">
        <v>117</v>
      </c>
      <c r="CZ131" s="32"/>
      <c r="DA131" s="25" t="s">
        <v>117</v>
      </c>
      <c r="DB131" s="33" t="s">
        <v>120</v>
      </c>
      <c r="DC131" s="25" t="s">
        <v>116</v>
      </c>
      <c r="DD131" s="34">
        <f>ROUND(0.075*SUM(AD131,AF131,AH131,AJ131,AL131,AN131,AP131,AR131,AT131,AV131,AX131,AZ131,BB131,BR131,BT131,BV131,BX131,BZ131,CB131,CD131,CF131,CJ131,CL131,CN131,CP131,CR131,CT131,CV131,CX131,CZ131),0)</f>
        <v>626</v>
      </c>
      <c r="DE131" t="s">
        <v>1130</v>
      </c>
      <c r="DF131" t="str">
        <f>A131&amp;"#"&amp;C131&amp;"#"&amp;D131</f>
        <v>Florida#Company#Florida LLC single-member US Manager</v>
      </c>
      <c r="DG131" t="b">
        <f>DE131=DF131</f>
        <v>1</v>
      </c>
    </row>
    <row r="132" spans="1:111" ht="78.75" hidden="1" customHeight="1" x14ac:dyDescent="0.35">
      <c r="A132" s="18" t="s">
        <v>1111</v>
      </c>
      <c r="B132" s="18" t="s">
        <v>1112</v>
      </c>
      <c r="C132" s="18" t="s">
        <v>88</v>
      </c>
      <c r="D132" s="19" t="s">
        <v>1131</v>
      </c>
      <c r="E132" s="18" t="s">
        <v>90</v>
      </c>
      <c r="F132" s="20" t="s">
        <v>900</v>
      </c>
      <c r="G132" s="20" t="s">
        <v>1132</v>
      </c>
      <c r="H132" s="20" t="s">
        <v>93</v>
      </c>
      <c r="I132" s="20" t="s">
        <v>878</v>
      </c>
      <c r="J132" s="20" t="s">
        <v>1115</v>
      </c>
      <c r="K132" s="20" t="s">
        <v>96</v>
      </c>
      <c r="L132" s="20" t="s">
        <v>97</v>
      </c>
      <c r="M132" s="20" t="s">
        <v>98</v>
      </c>
      <c r="N132" s="20" t="s">
        <v>1116</v>
      </c>
      <c r="O132" s="20" t="s">
        <v>100</v>
      </c>
      <c r="P132" s="20" t="s">
        <v>101</v>
      </c>
      <c r="Q132" s="20" t="s">
        <v>102</v>
      </c>
      <c r="R132" s="20" t="s">
        <v>515</v>
      </c>
      <c r="S132" s="20" t="s">
        <v>516</v>
      </c>
      <c r="T132" s="20" t="s">
        <v>105</v>
      </c>
      <c r="U132" s="20" t="s">
        <v>517</v>
      </c>
      <c r="V132" s="21" t="s">
        <v>518</v>
      </c>
      <c r="W132" s="21" t="s">
        <v>108</v>
      </c>
      <c r="X132" s="21" t="s">
        <v>109</v>
      </c>
      <c r="Y132" s="21" t="s">
        <v>1117</v>
      </c>
      <c r="Z132" s="21" t="s">
        <v>256</v>
      </c>
      <c r="AA132" s="21" t="s">
        <v>112</v>
      </c>
      <c r="AB132" s="21" t="s">
        <v>1133</v>
      </c>
      <c r="AC132" s="21" t="s">
        <v>1134</v>
      </c>
      <c r="AD132" s="22">
        <v>2050</v>
      </c>
      <c r="AE132" s="23" t="s">
        <v>115</v>
      </c>
      <c r="AF132" s="24"/>
      <c r="AG132" s="23" t="s">
        <v>116</v>
      </c>
      <c r="AH132" s="24"/>
      <c r="AI132" s="25" t="s">
        <v>117</v>
      </c>
      <c r="AJ132" s="24"/>
      <c r="AK132" s="25" t="s">
        <v>117</v>
      </c>
      <c r="AL132" s="22">
        <v>0</v>
      </c>
      <c r="AM132" s="23" t="s">
        <v>115</v>
      </c>
      <c r="AN132" s="24"/>
      <c r="AO132" s="25" t="s">
        <v>117</v>
      </c>
      <c r="AP132" s="22">
        <v>2450</v>
      </c>
      <c r="AQ132" s="23" t="s">
        <v>115</v>
      </c>
      <c r="AR132" s="24"/>
      <c r="AS132" s="23" t="s">
        <v>117</v>
      </c>
      <c r="AT132" s="27" t="s">
        <v>118</v>
      </c>
      <c r="AU132" s="23" t="s">
        <v>116</v>
      </c>
      <c r="AV132" s="22">
        <v>1840</v>
      </c>
      <c r="AW132" s="23" t="s">
        <v>115</v>
      </c>
      <c r="AX132" s="27" t="s">
        <v>118</v>
      </c>
      <c r="AY132" s="23" t="s">
        <v>115</v>
      </c>
      <c r="AZ132" s="22">
        <v>250</v>
      </c>
      <c r="BA132" s="23" t="s">
        <v>115</v>
      </c>
      <c r="BB132" s="24"/>
      <c r="BC132" s="23" t="s">
        <v>115</v>
      </c>
      <c r="BD132" s="27" t="s">
        <v>118</v>
      </c>
      <c r="BE132" s="23" t="s">
        <v>115</v>
      </c>
      <c r="BF132" s="26">
        <v>180</v>
      </c>
      <c r="BG132" s="23" t="s">
        <v>115</v>
      </c>
      <c r="BH132" s="28"/>
      <c r="BI132" s="25" t="s">
        <v>117</v>
      </c>
      <c r="BJ132" s="28"/>
      <c r="BK132" s="25" t="s">
        <v>117</v>
      </c>
      <c r="BL132" s="28"/>
      <c r="BM132" s="25" t="s">
        <v>117</v>
      </c>
      <c r="BN132" s="28"/>
      <c r="BO132" s="25" t="s">
        <v>117</v>
      </c>
      <c r="BP132" s="28"/>
      <c r="BQ132" s="25" t="s">
        <v>117</v>
      </c>
      <c r="BR132" s="28"/>
      <c r="BS132" s="25" t="s">
        <v>117</v>
      </c>
      <c r="BT132" s="28"/>
      <c r="BU132" s="25" t="s">
        <v>117</v>
      </c>
      <c r="BV132" s="28"/>
      <c r="BW132" s="25" t="s">
        <v>117</v>
      </c>
      <c r="BX132" s="28"/>
      <c r="BY132" s="25" t="s">
        <v>117</v>
      </c>
      <c r="BZ132" s="28"/>
      <c r="CA132" s="25" t="s">
        <v>117</v>
      </c>
      <c r="CB132" s="28"/>
      <c r="CC132" s="25" t="s">
        <v>117</v>
      </c>
      <c r="CD132" s="28"/>
      <c r="CE132" s="25" t="s">
        <v>117</v>
      </c>
      <c r="CF132" s="28"/>
      <c r="CG132" s="25" t="s">
        <v>117</v>
      </c>
      <c r="CH132" s="28"/>
      <c r="CI132" s="25"/>
      <c r="CJ132" s="28"/>
      <c r="CK132" s="29" t="s">
        <v>117</v>
      </c>
      <c r="CL132" s="28"/>
      <c r="CM132" s="29" t="s">
        <v>117</v>
      </c>
      <c r="CN132" s="28"/>
      <c r="CO132" s="25" t="s">
        <v>117</v>
      </c>
      <c r="CP132" s="30">
        <v>400</v>
      </c>
      <c r="CQ132" s="23" t="s">
        <v>115</v>
      </c>
      <c r="CR132" s="32"/>
      <c r="CS132" s="23" t="s">
        <v>117</v>
      </c>
      <c r="CT132" s="32"/>
      <c r="CU132" s="23" t="s">
        <v>117</v>
      </c>
      <c r="CV132" s="32"/>
      <c r="CW132" s="23" t="s">
        <v>117</v>
      </c>
      <c r="CX132" s="32"/>
      <c r="CY132" s="25" t="s">
        <v>117</v>
      </c>
      <c r="CZ132" s="32"/>
      <c r="DA132" s="25" t="s">
        <v>117</v>
      </c>
      <c r="DB132" s="33" t="s">
        <v>120</v>
      </c>
      <c r="DC132" s="25" t="s">
        <v>116</v>
      </c>
      <c r="DD132" s="34">
        <f>ROUND(0.075*SUM(AD132,AF132,AH132,AJ132,AL132,AN132,AP132,AR132,AT132,AV132,AX132,AZ132,BB132,BR132,BT132,BV132,BX132,BZ132,CB132,CD132,CF132,CJ132,CL132,CN132,CP132,CR132,CT132,CV132,CX132,CZ132),0)</f>
        <v>524</v>
      </c>
      <c r="DE132" t="s">
        <v>1135</v>
      </c>
      <c r="DF132" t="str">
        <f>A132&amp;"#"&amp;C132&amp;"#"&amp;D132</f>
        <v>Florida#Company#Florida LLC single-member Non-US Manager</v>
      </c>
      <c r="DG132" t="b">
        <f>DE132=DF132</f>
        <v>1</v>
      </c>
    </row>
    <row r="133" spans="1:111" ht="78.75" hidden="1" customHeight="1" x14ac:dyDescent="0.35">
      <c r="A133" s="18" t="s">
        <v>1111</v>
      </c>
      <c r="B133" s="18"/>
      <c r="C133" s="18" t="s">
        <v>88</v>
      </c>
      <c r="D133" s="19" t="s">
        <v>1136</v>
      </c>
      <c r="E133" s="18" t="s">
        <v>90</v>
      </c>
      <c r="F133" s="20" t="s">
        <v>1137</v>
      </c>
      <c r="G133" s="20" t="s">
        <v>1138</v>
      </c>
      <c r="H133" s="20" t="s">
        <v>1139</v>
      </c>
      <c r="I133" s="20" t="s">
        <v>1140</v>
      </c>
      <c r="J133" s="20" t="s">
        <v>1115</v>
      </c>
      <c r="K133" s="20" t="s">
        <v>96</v>
      </c>
      <c r="L133" s="20" t="s">
        <v>97</v>
      </c>
      <c r="M133" s="20" t="s">
        <v>98</v>
      </c>
      <c r="N133" s="20" t="s">
        <v>1141</v>
      </c>
      <c r="O133" s="20" t="s">
        <v>1142</v>
      </c>
      <c r="P133" s="20" t="s">
        <v>1143</v>
      </c>
      <c r="Q133" s="20" t="s">
        <v>1144</v>
      </c>
      <c r="R133" s="20" t="s">
        <v>1145</v>
      </c>
      <c r="S133" s="20" t="s">
        <v>1146</v>
      </c>
      <c r="T133" s="20" t="s">
        <v>1147</v>
      </c>
      <c r="U133" s="20" t="s">
        <v>1148</v>
      </c>
      <c r="V133" s="21" t="s">
        <v>1149</v>
      </c>
      <c r="W133" s="21" t="s">
        <v>108</v>
      </c>
      <c r="X133" s="21" t="s">
        <v>109</v>
      </c>
      <c r="Y133" s="21" t="s">
        <v>1150</v>
      </c>
      <c r="Z133" s="21" t="s">
        <v>256</v>
      </c>
      <c r="AA133" s="21" t="s">
        <v>112</v>
      </c>
      <c r="AB133" s="21" t="s">
        <v>1151</v>
      </c>
      <c r="AC133" s="21" t="s">
        <v>1152</v>
      </c>
      <c r="AD133" s="22">
        <v>1750</v>
      </c>
      <c r="AE133" s="23" t="s">
        <v>115</v>
      </c>
      <c r="AF133" s="24"/>
      <c r="AG133" s="23" t="s">
        <v>117</v>
      </c>
      <c r="AH133" s="24"/>
      <c r="AI133" s="25" t="s">
        <v>117</v>
      </c>
      <c r="AJ133" s="24"/>
      <c r="AK133" s="25" t="s">
        <v>117</v>
      </c>
      <c r="AL133" s="22"/>
      <c r="AM133" s="23" t="s">
        <v>117</v>
      </c>
      <c r="AN133" s="24"/>
      <c r="AO133" s="25" t="s">
        <v>117</v>
      </c>
      <c r="AP133" s="26"/>
      <c r="AQ133" s="23" t="s">
        <v>117</v>
      </c>
      <c r="AR133" s="24"/>
      <c r="AS133" s="23" t="s">
        <v>117</v>
      </c>
      <c r="AT133" s="27"/>
      <c r="AU133" s="23" t="s">
        <v>117</v>
      </c>
      <c r="AV133" s="22"/>
      <c r="AW133" s="23" t="s">
        <v>117</v>
      </c>
      <c r="AX133" s="22"/>
      <c r="AY133" s="23" t="s">
        <v>117</v>
      </c>
      <c r="AZ133" s="26">
        <v>400</v>
      </c>
      <c r="BA133" s="23" t="s">
        <v>116</v>
      </c>
      <c r="BB133" s="24"/>
      <c r="BC133" s="23" t="s">
        <v>117</v>
      </c>
      <c r="BD133" s="27">
        <v>1700</v>
      </c>
      <c r="BE133" s="23" t="s">
        <v>116</v>
      </c>
      <c r="BF133" s="27">
        <v>1700</v>
      </c>
      <c r="BG133" s="23" t="s">
        <v>116</v>
      </c>
      <c r="BH133" s="28"/>
      <c r="BI133" s="25" t="s">
        <v>117</v>
      </c>
      <c r="BJ133" s="28"/>
      <c r="BK133" s="25" t="s">
        <v>117</v>
      </c>
      <c r="BL133" s="28"/>
      <c r="BM133" s="25" t="s">
        <v>117</v>
      </c>
      <c r="BN133" s="28"/>
      <c r="BO133" s="25" t="s">
        <v>117</v>
      </c>
      <c r="BP133" s="28"/>
      <c r="BQ133" s="25" t="s">
        <v>117</v>
      </c>
      <c r="BR133" s="28"/>
      <c r="BS133" s="25" t="s">
        <v>117</v>
      </c>
      <c r="BT133" s="28"/>
      <c r="BU133" s="25" t="s">
        <v>117</v>
      </c>
      <c r="BV133" s="28"/>
      <c r="BW133" s="25" t="s">
        <v>117</v>
      </c>
      <c r="BX133" s="28"/>
      <c r="BY133" s="25" t="s">
        <v>117</v>
      </c>
      <c r="BZ133" s="28"/>
      <c r="CA133" s="25" t="s">
        <v>117</v>
      </c>
      <c r="CB133" s="28"/>
      <c r="CC133" s="25" t="s">
        <v>117</v>
      </c>
      <c r="CD133" s="28"/>
      <c r="CE133" s="25" t="s">
        <v>117</v>
      </c>
      <c r="CF133" s="28"/>
      <c r="CG133" s="25" t="s">
        <v>117</v>
      </c>
      <c r="CH133" s="28"/>
      <c r="CI133" s="25"/>
      <c r="CJ133" s="28"/>
      <c r="CK133" s="29" t="s">
        <v>117</v>
      </c>
      <c r="CL133" s="28"/>
      <c r="CM133" s="29" t="s">
        <v>117</v>
      </c>
      <c r="CN133" s="28"/>
      <c r="CO133" s="25" t="s">
        <v>117</v>
      </c>
      <c r="CP133" s="30"/>
      <c r="CQ133" s="23" t="s">
        <v>117</v>
      </c>
      <c r="CR133" s="30"/>
      <c r="CS133" s="23" t="s">
        <v>117</v>
      </c>
      <c r="CT133" s="30"/>
      <c r="CU133" s="23" t="s">
        <v>117</v>
      </c>
      <c r="CV133" s="31"/>
      <c r="CW133" s="23" t="s">
        <v>117</v>
      </c>
      <c r="CX133" s="32"/>
      <c r="CY133" s="25" t="s">
        <v>117</v>
      </c>
      <c r="CZ133" s="32"/>
      <c r="DA133" s="25" t="s">
        <v>117</v>
      </c>
      <c r="DB133" s="33"/>
      <c r="DC133" s="25" t="s">
        <v>117</v>
      </c>
      <c r="DD133" s="34">
        <f>ROUND(0.075*SUM(AD133,AF133,AH133,AJ133,AL133,AN133,AP133,AR133,AT133,AV133,AX133,AZ133,BB133,BR133,BT133,BV133,BX133,BZ133,CB133,CD133,CF133,CJ133,CL133,CN133,CP133,CR133,CT133,CV133,CX133,CZ133),0)</f>
        <v>161</v>
      </c>
      <c r="DE133" t="s">
        <v>1153</v>
      </c>
      <c r="DF133" t="str">
        <f>A133&amp;"#"&amp;C133&amp;"#"&amp;D133</f>
        <v>Florida#Company#Florida C Corp</v>
      </c>
      <c r="DG133" t="b">
        <f>DE133=DF133</f>
        <v>1</v>
      </c>
    </row>
    <row r="134" spans="1:111" ht="78.75" hidden="1" customHeight="1" x14ac:dyDescent="0.35">
      <c r="A134" s="184" t="s">
        <v>1154</v>
      </c>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c r="AA134" s="184"/>
      <c r="AB134" s="184"/>
      <c r="AC134" s="184"/>
      <c r="AD134" s="184"/>
      <c r="AE134" s="184"/>
      <c r="AF134" s="184"/>
      <c r="AG134" s="184"/>
      <c r="AH134" s="184"/>
      <c r="AI134" s="184"/>
      <c r="AJ134" s="184"/>
      <c r="AK134" s="184"/>
      <c r="AL134" s="184"/>
      <c r="AM134" s="184"/>
      <c r="AN134" s="184"/>
      <c r="AO134" s="184"/>
      <c r="AP134" s="184"/>
      <c r="AQ134" s="184"/>
      <c r="AR134" s="184"/>
      <c r="AS134" s="184"/>
      <c r="AT134" s="184"/>
      <c r="AU134" s="184"/>
      <c r="AV134" s="184"/>
      <c r="AW134" s="184"/>
      <c r="AX134" s="184"/>
      <c r="AY134" s="184"/>
      <c r="AZ134" s="184"/>
      <c r="BA134" s="184"/>
      <c r="BB134" s="184"/>
      <c r="BC134" s="184"/>
      <c r="BD134" s="184"/>
      <c r="BE134" s="184"/>
      <c r="BF134" s="184"/>
      <c r="BG134" s="184"/>
      <c r="BH134" s="184"/>
      <c r="BI134" s="184"/>
      <c r="BJ134" s="184"/>
      <c r="BK134" s="184"/>
      <c r="BL134" s="184"/>
      <c r="BM134" s="184"/>
      <c r="BN134" s="184"/>
      <c r="BO134" s="184"/>
      <c r="BP134" s="184"/>
      <c r="BQ134" s="184"/>
      <c r="BR134" s="184"/>
      <c r="BS134" s="184"/>
      <c r="BT134" s="184"/>
      <c r="BU134" s="184"/>
      <c r="BV134" s="184"/>
      <c r="BW134" s="184"/>
      <c r="BX134" s="184"/>
      <c r="BY134" s="184"/>
      <c r="BZ134" s="184"/>
      <c r="CA134" s="184"/>
      <c r="CB134" s="184"/>
      <c r="CC134" s="184"/>
      <c r="CD134" s="184"/>
      <c r="CE134" s="184"/>
      <c r="CF134" s="184"/>
      <c r="CG134" s="184"/>
      <c r="CH134" s="184"/>
      <c r="CI134" s="184"/>
      <c r="CJ134" s="184"/>
      <c r="CK134" s="184"/>
      <c r="CL134" s="184"/>
      <c r="CM134" s="184"/>
      <c r="CN134" s="184"/>
      <c r="CO134" s="184"/>
      <c r="CP134" s="184"/>
      <c r="CQ134" s="184"/>
      <c r="CR134" s="184"/>
      <c r="CS134" s="184"/>
      <c r="CT134" s="184"/>
      <c r="CU134" s="184"/>
      <c r="CV134" s="184"/>
      <c r="CW134" s="184"/>
      <c r="CX134" s="184"/>
      <c r="CY134" s="184"/>
      <c r="CZ134" s="184"/>
      <c r="DA134" s="184"/>
      <c r="DB134" s="184"/>
      <c r="DC134" s="184"/>
      <c r="DE134" t="s">
        <v>85</v>
      </c>
      <c r="DF134" t="str">
        <f>A127&amp;"#"&amp;C127&amp;"#"&amp;D127</f>
        <v>United Arab Emirates#Fund#United Arab Emirates ICC</v>
      </c>
    </row>
    <row r="135" spans="1:111" ht="78.75" hidden="1" customHeight="1" x14ac:dyDescent="0.35">
      <c r="A135" s="18" t="s">
        <v>1155</v>
      </c>
      <c r="B135" s="35" t="s">
        <v>1156</v>
      </c>
      <c r="C135" s="18" t="s">
        <v>88</v>
      </c>
      <c r="D135" s="19" t="s">
        <v>1157</v>
      </c>
      <c r="E135" s="18" t="s">
        <v>817</v>
      </c>
      <c r="F135" s="20" t="s">
        <v>1158</v>
      </c>
      <c r="G135" s="20" t="s">
        <v>1159</v>
      </c>
      <c r="H135" s="20" t="s">
        <v>1160</v>
      </c>
      <c r="I135" s="20" t="s">
        <v>1161</v>
      </c>
      <c r="J135" s="20" t="s">
        <v>1162</v>
      </c>
      <c r="K135" s="20" t="s">
        <v>96</v>
      </c>
      <c r="L135" s="20" t="s">
        <v>97</v>
      </c>
      <c r="M135" s="20" t="s">
        <v>98</v>
      </c>
      <c r="N135" s="20" t="s">
        <v>1163</v>
      </c>
      <c r="O135" s="20" t="s">
        <v>100</v>
      </c>
      <c r="P135" s="20" t="s">
        <v>101</v>
      </c>
      <c r="Q135" s="20" t="s">
        <v>102</v>
      </c>
      <c r="R135" s="20" t="s">
        <v>103</v>
      </c>
      <c r="S135" s="20" t="s">
        <v>104</v>
      </c>
      <c r="T135" s="20" t="s">
        <v>105</v>
      </c>
      <c r="U135" s="20" t="s">
        <v>106</v>
      </c>
      <c r="V135" s="21" t="s">
        <v>243</v>
      </c>
      <c r="W135" s="21" t="s">
        <v>203</v>
      </c>
      <c r="X135" s="21" t="s">
        <v>109</v>
      </c>
      <c r="Y135" s="21" t="s">
        <v>1164</v>
      </c>
      <c r="Z135" s="21" t="s">
        <v>1165</v>
      </c>
      <c r="AA135" s="21" t="s">
        <v>112</v>
      </c>
      <c r="AB135" s="21" t="s">
        <v>1166</v>
      </c>
      <c r="AC135" s="21" t="s">
        <v>1167</v>
      </c>
      <c r="AD135" s="22">
        <v>3710</v>
      </c>
      <c r="AE135" s="23" t="s">
        <v>115</v>
      </c>
      <c r="AF135" s="24"/>
      <c r="AG135" s="23" t="s">
        <v>116</v>
      </c>
      <c r="AH135" s="24"/>
      <c r="AI135" s="25" t="s">
        <v>117</v>
      </c>
      <c r="AJ135" s="24"/>
      <c r="AK135" s="25" t="s">
        <v>117</v>
      </c>
      <c r="AL135" s="22">
        <v>0</v>
      </c>
      <c r="AM135" s="23" t="s">
        <v>115</v>
      </c>
      <c r="AN135" s="24"/>
      <c r="AO135" s="25" t="s">
        <v>117</v>
      </c>
      <c r="AP135" s="37">
        <v>5000</v>
      </c>
      <c r="AQ135" s="23" t="s">
        <v>115</v>
      </c>
      <c r="AR135" s="28"/>
      <c r="AS135" s="23" t="s">
        <v>117</v>
      </c>
      <c r="AT135" s="22">
        <v>6890</v>
      </c>
      <c r="AU135" s="23" t="s">
        <v>116</v>
      </c>
      <c r="AV135" s="22">
        <v>3710</v>
      </c>
      <c r="AW135" s="23" t="s">
        <v>116</v>
      </c>
      <c r="AX135" s="22">
        <v>3820</v>
      </c>
      <c r="AY135" s="23" t="s">
        <v>116</v>
      </c>
      <c r="AZ135" s="27" t="s">
        <v>118</v>
      </c>
      <c r="BA135" s="23" t="s">
        <v>115</v>
      </c>
      <c r="BB135" s="28"/>
      <c r="BC135" s="23" t="s">
        <v>115</v>
      </c>
      <c r="BD135" s="22">
        <v>5500</v>
      </c>
      <c r="BE135" s="23" t="s">
        <v>115</v>
      </c>
      <c r="BF135" s="27" t="s">
        <v>118</v>
      </c>
      <c r="BG135" s="23" t="s">
        <v>115</v>
      </c>
      <c r="BH135" s="28"/>
      <c r="BI135" s="25" t="s">
        <v>117</v>
      </c>
      <c r="BJ135" s="28"/>
      <c r="BK135" s="25" t="s">
        <v>117</v>
      </c>
      <c r="BL135" s="28"/>
      <c r="BM135" s="25" t="s">
        <v>117</v>
      </c>
      <c r="BN135" s="28"/>
      <c r="BO135" s="25" t="s">
        <v>117</v>
      </c>
      <c r="BP135" s="28"/>
      <c r="BQ135" s="25" t="s">
        <v>117</v>
      </c>
      <c r="BR135" s="28"/>
      <c r="BS135" s="25" t="s">
        <v>117</v>
      </c>
      <c r="BT135" s="28"/>
      <c r="BU135" s="25" t="s">
        <v>117</v>
      </c>
      <c r="BV135" s="28"/>
      <c r="BW135" s="25" t="s">
        <v>117</v>
      </c>
      <c r="BX135" s="28"/>
      <c r="BY135" s="25" t="s">
        <v>117</v>
      </c>
      <c r="BZ135" s="28"/>
      <c r="CA135" s="25" t="s">
        <v>117</v>
      </c>
      <c r="CB135" s="28"/>
      <c r="CC135" s="25" t="s">
        <v>117</v>
      </c>
      <c r="CD135" s="28"/>
      <c r="CE135" s="25" t="s">
        <v>117</v>
      </c>
      <c r="CF135" s="28"/>
      <c r="CG135" s="25" t="s">
        <v>117</v>
      </c>
      <c r="CH135" s="28"/>
      <c r="CI135" s="25"/>
      <c r="CJ135" s="28"/>
      <c r="CK135" s="29" t="s">
        <v>117</v>
      </c>
      <c r="CL135" s="28"/>
      <c r="CM135" s="29" t="s">
        <v>117</v>
      </c>
      <c r="CN135" s="28"/>
      <c r="CO135" s="25" t="s">
        <v>117</v>
      </c>
      <c r="CP135" s="30">
        <v>400</v>
      </c>
      <c r="CQ135" s="23" t="s">
        <v>115</v>
      </c>
      <c r="CR135" s="32"/>
      <c r="CS135" s="23" t="s">
        <v>117</v>
      </c>
      <c r="CT135" s="32"/>
      <c r="CU135" s="23" t="s">
        <v>117</v>
      </c>
      <c r="CV135" s="32"/>
      <c r="CW135" s="23" t="s">
        <v>117</v>
      </c>
      <c r="CX135" s="32"/>
      <c r="CY135" s="25" t="s">
        <v>117</v>
      </c>
      <c r="CZ135" s="32"/>
      <c r="DA135" s="25" t="s">
        <v>117</v>
      </c>
      <c r="DB135" s="33" t="s">
        <v>1168</v>
      </c>
      <c r="DC135" s="25" t="s">
        <v>116</v>
      </c>
      <c r="DD135" s="34">
        <f>ROUND(0.075*SUM(AD135,AF135,AH135,AJ135,AL135,AN135,AP135,AR135,AT135,AV135,AX135,AZ135,BB135,BR135,BT135,BV135,BX135,BZ135,CB135,CD135,CF135,CJ135,CL135,CN135,CP135,CR135,CT135,CV135,CX135,CZ135),0)</f>
        <v>1765</v>
      </c>
      <c r="DE135" t="s">
        <v>1169</v>
      </c>
      <c r="DF135" t="str">
        <f>A135&amp;"#"&amp;C135&amp;"#"&amp;D135</f>
        <v>Germany#Company#Germany GmbH</v>
      </c>
      <c r="DG135" t="b">
        <f>DE135=DF135</f>
        <v>1</v>
      </c>
    </row>
    <row r="136" spans="1:111" ht="78.75" hidden="1" customHeight="1" x14ac:dyDescent="0.35">
      <c r="A136" s="35" t="s">
        <v>1155</v>
      </c>
      <c r="B136" s="35" t="s">
        <v>1156</v>
      </c>
      <c r="C136" s="35" t="s">
        <v>88</v>
      </c>
      <c r="D136" s="36" t="s">
        <v>1170</v>
      </c>
      <c r="E136" s="35" t="s">
        <v>90</v>
      </c>
      <c r="F136" s="20" t="s">
        <v>1171</v>
      </c>
      <c r="G136" s="20" t="s">
        <v>1172</v>
      </c>
      <c r="H136" s="20" t="s">
        <v>1160</v>
      </c>
      <c r="I136" s="20" t="s">
        <v>1161</v>
      </c>
      <c r="J136" s="20" t="s">
        <v>1162</v>
      </c>
      <c r="K136" s="20" t="s">
        <v>96</v>
      </c>
      <c r="L136" s="20" t="s">
        <v>97</v>
      </c>
      <c r="M136" s="20" t="s">
        <v>98</v>
      </c>
      <c r="N136" s="20" t="s">
        <v>1163</v>
      </c>
      <c r="O136" s="20" t="s">
        <v>100</v>
      </c>
      <c r="P136" s="20" t="s">
        <v>101</v>
      </c>
      <c r="Q136" s="20" t="s">
        <v>102</v>
      </c>
      <c r="R136" s="20" t="s">
        <v>103</v>
      </c>
      <c r="S136" s="20" t="s">
        <v>104</v>
      </c>
      <c r="T136" s="20" t="s">
        <v>105</v>
      </c>
      <c r="U136" s="20" t="s">
        <v>106</v>
      </c>
      <c r="V136" s="21" t="s">
        <v>243</v>
      </c>
      <c r="W136" s="21" t="s">
        <v>203</v>
      </c>
      <c r="X136" s="21" t="s">
        <v>109</v>
      </c>
      <c r="Y136" s="21" t="s">
        <v>1173</v>
      </c>
      <c r="Z136" s="21" t="s">
        <v>256</v>
      </c>
      <c r="AA136" s="21" t="s">
        <v>112</v>
      </c>
      <c r="AB136" s="21" t="s">
        <v>1174</v>
      </c>
      <c r="AC136" s="21" t="s">
        <v>1175</v>
      </c>
      <c r="AD136" s="37">
        <v>6000</v>
      </c>
      <c r="AE136" s="23" t="s">
        <v>115</v>
      </c>
      <c r="AF136" s="38"/>
      <c r="AG136" s="23" t="s">
        <v>116</v>
      </c>
      <c r="AH136" s="38"/>
      <c r="AI136" s="25" t="s">
        <v>117</v>
      </c>
      <c r="AJ136" s="38"/>
      <c r="AK136" s="25" t="s">
        <v>117</v>
      </c>
      <c r="AL136" s="22">
        <v>0</v>
      </c>
      <c r="AM136" s="23" t="s">
        <v>115</v>
      </c>
      <c r="AN136" s="38"/>
      <c r="AO136" s="25" t="s">
        <v>117</v>
      </c>
      <c r="AP136" s="37">
        <v>5000</v>
      </c>
      <c r="AQ136" s="23" t="s">
        <v>115</v>
      </c>
      <c r="AR136" s="38"/>
      <c r="AS136" s="23" t="s">
        <v>117</v>
      </c>
      <c r="AT136" s="22">
        <v>6890</v>
      </c>
      <c r="AU136" s="23" t="s">
        <v>116</v>
      </c>
      <c r="AV136" s="22">
        <v>3710</v>
      </c>
      <c r="AW136" s="23" t="s">
        <v>116</v>
      </c>
      <c r="AX136" s="22">
        <v>3820</v>
      </c>
      <c r="AY136" s="23" t="s">
        <v>116</v>
      </c>
      <c r="AZ136" s="39" t="s">
        <v>118</v>
      </c>
      <c r="BA136" s="23" t="s">
        <v>115</v>
      </c>
      <c r="BB136" s="40"/>
      <c r="BC136" s="23" t="s">
        <v>115</v>
      </c>
      <c r="BD136" s="39" t="s">
        <v>118</v>
      </c>
      <c r="BE136" s="23" t="s">
        <v>115</v>
      </c>
      <c r="BF136" s="39" t="s">
        <v>118</v>
      </c>
      <c r="BG136" s="23" t="s">
        <v>115</v>
      </c>
      <c r="BH136" s="40"/>
      <c r="BI136" s="25" t="s">
        <v>117</v>
      </c>
      <c r="BJ136" s="40"/>
      <c r="BK136" s="25" t="s">
        <v>117</v>
      </c>
      <c r="BL136" s="40"/>
      <c r="BM136" s="25" t="s">
        <v>117</v>
      </c>
      <c r="BN136" s="40"/>
      <c r="BO136" s="25" t="s">
        <v>117</v>
      </c>
      <c r="BP136" s="40"/>
      <c r="BQ136" s="25" t="s">
        <v>117</v>
      </c>
      <c r="BR136" s="40"/>
      <c r="BS136" s="25" t="s">
        <v>117</v>
      </c>
      <c r="BT136" s="40"/>
      <c r="BU136" s="25" t="s">
        <v>117</v>
      </c>
      <c r="BV136" s="40"/>
      <c r="BW136" s="25" t="s">
        <v>117</v>
      </c>
      <c r="BX136" s="40"/>
      <c r="BY136" s="25" t="s">
        <v>117</v>
      </c>
      <c r="BZ136" s="40"/>
      <c r="CA136" s="25" t="s">
        <v>117</v>
      </c>
      <c r="CB136" s="40"/>
      <c r="CC136" s="25" t="s">
        <v>117</v>
      </c>
      <c r="CD136" s="40"/>
      <c r="CE136" s="25" t="s">
        <v>117</v>
      </c>
      <c r="CF136" s="40"/>
      <c r="CG136" s="25" t="s">
        <v>117</v>
      </c>
      <c r="CH136" s="40"/>
      <c r="CI136" s="25"/>
      <c r="CJ136" s="40"/>
      <c r="CK136" s="41" t="s">
        <v>117</v>
      </c>
      <c r="CL136" s="40"/>
      <c r="CM136" s="41" t="s">
        <v>117</v>
      </c>
      <c r="CN136" s="40"/>
      <c r="CO136" s="25" t="s">
        <v>117</v>
      </c>
      <c r="CP136" s="30">
        <v>400</v>
      </c>
      <c r="CQ136" s="23" t="s">
        <v>115</v>
      </c>
      <c r="CR136" s="32"/>
      <c r="CS136" s="23" t="s">
        <v>117</v>
      </c>
      <c r="CT136" s="32"/>
      <c r="CU136" s="23" t="s">
        <v>117</v>
      </c>
      <c r="CV136" s="32"/>
      <c r="CW136" s="23" t="s">
        <v>117</v>
      </c>
      <c r="CX136" s="32"/>
      <c r="CY136" s="25" t="s">
        <v>117</v>
      </c>
      <c r="CZ136" s="32"/>
      <c r="DA136" s="25" t="s">
        <v>117</v>
      </c>
      <c r="DB136" s="33" t="s">
        <v>120</v>
      </c>
      <c r="DC136" s="25" t="s">
        <v>116</v>
      </c>
      <c r="DD136" s="34">
        <f>ROUND(0.075*SUM(AD136,AF136,AH136,AJ136,AL136,AN136,AP136,AR136,AT136,AV136,AX136,AZ136,BB136,BR136,BT136,BV136,BX136,BZ136,CB136,CD136,CF136,CJ136,CL136,CN136,CP136,CR136,CT136,CV136,CX136,CZ136),0)</f>
        <v>1937</v>
      </c>
      <c r="DE136" t="s">
        <v>1176</v>
      </c>
      <c r="DF136" t="str">
        <f>A136&amp;"#"&amp;C136&amp;"#"&amp;D136</f>
        <v>Germany#Company#Germany AG</v>
      </c>
      <c r="DG136" t="b">
        <f>DE136=DF136</f>
        <v>1</v>
      </c>
    </row>
    <row r="137" spans="1:111" ht="15" hidden="1" customHeight="1" x14ac:dyDescent="0.35">
      <c r="A137" s="184" t="s">
        <v>1177</v>
      </c>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c r="AA137" s="184"/>
      <c r="AB137" s="184"/>
      <c r="AC137" s="184"/>
      <c r="AD137" s="184"/>
      <c r="AE137" s="184"/>
      <c r="AF137" s="184"/>
      <c r="AG137" s="184"/>
      <c r="AH137" s="184"/>
      <c r="AI137" s="184"/>
      <c r="AJ137" s="184"/>
      <c r="AK137" s="184"/>
      <c r="AL137" s="184"/>
      <c r="AM137" s="184"/>
      <c r="AN137" s="184"/>
      <c r="AO137" s="184"/>
      <c r="AP137" s="184"/>
      <c r="AQ137" s="184"/>
      <c r="AR137" s="184"/>
      <c r="AS137" s="184"/>
      <c r="AT137" s="184"/>
      <c r="AU137" s="184"/>
      <c r="AV137" s="184"/>
      <c r="AW137" s="184"/>
      <c r="AX137" s="184"/>
      <c r="AY137" s="184"/>
      <c r="AZ137" s="184"/>
      <c r="BA137" s="184"/>
      <c r="BB137" s="184"/>
      <c r="BC137" s="184"/>
      <c r="BD137" s="184"/>
      <c r="BE137" s="184"/>
      <c r="BF137" s="184"/>
      <c r="BG137" s="184"/>
      <c r="BH137" s="184"/>
      <c r="BI137" s="184"/>
      <c r="BJ137" s="184"/>
      <c r="BK137" s="184"/>
      <c r="BL137" s="184"/>
      <c r="BM137" s="184"/>
      <c r="BN137" s="184"/>
      <c r="BO137" s="184"/>
      <c r="BP137" s="184"/>
      <c r="BQ137" s="184"/>
      <c r="BR137" s="184"/>
      <c r="BS137" s="184"/>
      <c r="BT137" s="184"/>
      <c r="BU137" s="184"/>
      <c r="BV137" s="184"/>
      <c r="BW137" s="184"/>
      <c r="BX137" s="184"/>
      <c r="BY137" s="184"/>
      <c r="BZ137" s="184"/>
      <c r="CA137" s="184"/>
      <c r="CB137" s="184"/>
      <c r="CC137" s="184"/>
      <c r="CD137" s="184"/>
      <c r="CE137" s="184"/>
      <c r="CF137" s="184"/>
      <c r="CG137" s="184"/>
      <c r="CH137" s="184"/>
      <c r="CI137" s="184"/>
      <c r="CJ137" s="184"/>
      <c r="CK137" s="184"/>
      <c r="CL137" s="184"/>
      <c r="CM137" s="184"/>
      <c r="CN137" s="184"/>
      <c r="CO137" s="184"/>
      <c r="CP137" s="184"/>
      <c r="CQ137" s="184"/>
      <c r="CR137" s="184"/>
      <c r="CS137" s="184"/>
      <c r="CT137" s="184"/>
      <c r="CU137" s="184"/>
      <c r="CV137" s="184"/>
      <c r="CW137" s="184"/>
      <c r="CX137" s="184"/>
      <c r="CY137" s="184"/>
      <c r="CZ137" s="184"/>
      <c r="DA137" s="184"/>
      <c r="DB137" s="184"/>
      <c r="DC137" s="184"/>
      <c r="DE137" t="s">
        <v>85</v>
      </c>
      <c r="DF137" t="str">
        <f>A130&amp;"#"&amp;C130&amp;"#"&amp;D130</f>
        <v>Florida#Company#Florida LLC multi-member US Manager</v>
      </c>
    </row>
    <row r="138" spans="1:111" ht="78.75" hidden="1" customHeight="1" x14ac:dyDescent="0.35">
      <c r="A138" s="72" t="s">
        <v>1178</v>
      </c>
      <c r="B138" s="42" t="s">
        <v>1179</v>
      </c>
      <c r="C138" s="72" t="s">
        <v>88</v>
      </c>
      <c r="D138" s="73" t="s">
        <v>1180</v>
      </c>
      <c r="E138" s="72" t="s">
        <v>90</v>
      </c>
      <c r="F138" s="20" t="s">
        <v>143</v>
      </c>
      <c r="G138" s="20" t="s">
        <v>1181</v>
      </c>
      <c r="H138" s="20" t="s">
        <v>1139</v>
      </c>
      <c r="I138" s="20" t="s">
        <v>94</v>
      </c>
      <c r="J138" s="20" t="s">
        <v>1182</v>
      </c>
      <c r="K138" s="20" t="s">
        <v>96</v>
      </c>
      <c r="L138" s="20" t="s">
        <v>97</v>
      </c>
      <c r="M138" s="20" t="s">
        <v>98</v>
      </c>
      <c r="N138" s="20" t="s">
        <v>1183</v>
      </c>
      <c r="O138" s="20" t="s">
        <v>100</v>
      </c>
      <c r="P138" s="20" t="s">
        <v>101</v>
      </c>
      <c r="Q138" s="20" t="s">
        <v>102</v>
      </c>
      <c r="R138" s="20" t="s">
        <v>103</v>
      </c>
      <c r="S138" s="20" t="s">
        <v>104</v>
      </c>
      <c r="T138" s="20" t="s">
        <v>105</v>
      </c>
      <c r="U138" s="20" t="s">
        <v>106</v>
      </c>
      <c r="V138" s="21" t="s">
        <v>243</v>
      </c>
      <c r="W138" s="21" t="s">
        <v>108</v>
      </c>
      <c r="X138" s="21" t="s">
        <v>109</v>
      </c>
      <c r="Y138" s="21" t="s">
        <v>1184</v>
      </c>
      <c r="Z138" s="21" t="s">
        <v>256</v>
      </c>
      <c r="AA138" s="21" t="s">
        <v>112</v>
      </c>
      <c r="AB138" s="21" t="s">
        <v>1185</v>
      </c>
      <c r="AC138" s="21" t="s">
        <v>1186</v>
      </c>
      <c r="AD138" s="61">
        <v>3580</v>
      </c>
      <c r="AE138" s="23" t="s">
        <v>115</v>
      </c>
      <c r="AF138" s="74"/>
      <c r="AG138" s="23" t="s">
        <v>116</v>
      </c>
      <c r="AH138" s="74"/>
      <c r="AI138" s="25" t="s">
        <v>117</v>
      </c>
      <c r="AJ138" s="74"/>
      <c r="AK138" s="25" t="s">
        <v>117</v>
      </c>
      <c r="AL138" s="22">
        <v>0</v>
      </c>
      <c r="AM138" s="23" t="s">
        <v>115</v>
      </c>
      <c r="AN138" s="74"/>
      <c r="AO138" s="25" t="s">
        <v>117</v>
      </c>
      <c r="AP138" s="61">
        <v>8270</v>
      </c>
      <c r="AQ138" s="23" t="s">
        <v>115</v>
      </c>
      <c r="AR138" s="74"/>
      <c r="AS138" s="23" t="s">
        <v>117</v>
      </c>
      <c r="AT138" s="61">
        <v>14630</v>
      </c>
      <c r="AU138" s="23" t="s">
        <v>116</v>
      </c>
      <c r="AV138" s="61">
        <v>1140</v>
      </c>
      <c r="AW138" s="23" t="s">
        <v>115</v>
      </c>
      <c r="AX138" s="61">
        <v>2200</v>
      </c>
      <c r="AY138" s="23" t="s">
        <v>116</v>
      </c>
      <c r="AZ138" s="61">
        <v>350</v>
      </c>
      <c r="BA138" s="23" t="s">
        <v>115</v>
      </c>
      <c r="BB138" s="74"/>
      <c r="BC138" s="23" t="s">
        <v>115</v>
      </c>
      <c r="BD138" s="61">
        <v>3800</v>
      </c>
      <c r="BE138" s="23" t="s">
        <v>115</v>
      </c>
      <c r="BF138" s="61">
        <v>1800</v>
      </c>
      <c r="BG138" s="23" t="s">
        <v>115</v>
      </c>
      <c r="BH138" s="74"/>
      <c r="BI138" s="25" t="s">
        <v>117</v>
      </c>
      <c r="BJ138" s="74"/>
      <c r="BK138" s="25" t="s">
        <v>117</v>
      </c>
      <c r="BL138" s="74"/>
      <c r="BM138" s="25" t="s">
        <v>117</v>
      </c>
      <c r="BN138" s="74"/>
      <c r="BO138" s="25" t="s">
        <v>117</v>
      </c>
      <c r="BP138" s="74"/>
      <c r="BQ138" s="25" t="s">
        <v>117</v>
      </c>
      <c r="BR138" s="74"/>
      <c r="BS138" s="25" t="s">
        <v>117</v>
      </c>
      <c r="BT138" s="74"/>
      <c r="BU138" s="25" t="s">
        <v>117</v>
      </c>
      <c r="BV138" s="74"/>
      <c r="BW138" s="25" t="s">
        <v>117</v>
      </c>
      <c r="BX138" s="74"/>
      <c r="BY138" s="25" t="s">
        <v>117</v>
      </c>
      <c r="BZ138" s="74"/>
      <c r="CA138" s="25" t="s">
        <v>117</v>
      </c>
      <c r="CB138" s="74"/>
      <c r="CC138" s="25" t="s">
        <v>117</v>
      </c>
      <c r="CD138" s="74"/>
      <c r="CE138" s="25" t="s">
        <v>117</v>
      </c>
      <c r="CF138" s="74"/>
      <c r="CG138" s="25" t="s">
        <v>117</v>
      </c>
      <c r="CH138" s="74"/>
      <c r="CI138" s="25"/>
      <c r="CJ138" s="74"/>
      <c r="CK138" s="62" t="s">
        <v>117</v>
      </c>
      <c r="CL138" s="74"/>
      <c r="CM138" s="62" t="s">
        <v>117</v>
      </c>
      <c r="CN138" s="74"/>
      <c r="CO138" s="25" t="s">
        <v>117</v>
      </c>
      <c r="CP138" s="30">
        <v>400</v>
      </c>
      <c r="CQ138" s="23" t="s">
        <v>115</v>
      </c>
      <c r="CR138" s="32"/>
      <c r="CS138" s="23" t="s">
        <v>117</v>
      </c>
      <c r="CT138" s="32"/>
      <c r="CU138" s="23" t="s">
        <v>117</v>
      </c>
      <c r="CV138" s="32"/>
      <c r="CW138" s="23" t="s">
        <v>117</v>
      </c>
      <c r="CX138" s="32"/>
      <c r="CY138" s="25" t="s">
        <v>117</v>
      </c>
      <c r="CZ138" s="32"/>
      <c r="DA138" s="25" t="s">
        <v>117</v>
      </c>
      <c r="DB138" s="33" t="s">
        <v>120</v>
      </c>
      <c r="DC138" s="25" t="s">
        <v>116</v>
      </c>
      <c r="DD138" s="34">
        <f t="shared" ref="DD138:DD143" si="30">ROUND(0.075*SUM(AD138,AF138,AH138,AJ138,AL138,AN138,AP138,AR138,AT138,AV138,AX138,AZ138,BB138,BR138,BT138,BV138,BX138,BZ138,CB138,CD138,CF138,CJ138,CL138,CN138,CP138,CR138,CT138,CV138,CX138,CZ138),0)</f>
        <v>2293</v>
      </c>
      <c r="DE138" t="s">
        <v>1187</v>
      </c>
      <c r="DF138" t="str">
        <f t="shared" ref="DF138:DF143" si="31">A138&amp;"#"&amp;C138&amp;"#"&amp;D138</f>
        <v>Hong Kong#Company#Hong Kong Ltd</v>
      </c>
      <c r="DG138" t="b">
        <f t="shared" ref="DG138:DG143" si="32">DE138=DF138</f>
        <v>1</v>
      </c>
    </row>
    <row r="139" spans="1:111" ht="78.75" customHeight="1" x14ac:dyDescent="0.35">
      <c r="A139" s="42" t="s">
        <v>1178</v>
      </c>
      <c r="B139" s="42" t="s">
        <v>1188</v>
      </c>
      <c r="C139" s="42" t="s">
        <v>141</v>
      </c>
      <c r="D139" s="43" t="s">
        <v>1189</v>
      </c>
      <c r="E139" s="42" t="s">
        <v>90</v>
      </c>
      <c r="F139" s="20" t="s">
        <v>1190</v>
      </c>
      <c r="G139" s="20" t="s">
        <v>1191</v>
      </c>
      <c r="H139" s="20" t="s">
        <v>145</v>
      </c>
      <c r="I139" s="20" t="s">
        <v>146</v>
      </c>
      <c r="J139" s="20" t="s">
        <v>1182</v>
      </c>
      <c r="K139" s="20" t="s">
        <v>96</v>
      </c>
      <c r="L139" s="20" t="s">
        <v>97</v>
      </c>
      <c r="M139" s="20" t="s">
        <v>98</v>
      </c>
      <c r="N139" s="20" t="s">
        <v>147</v>
      </c>
      <c r="O139" s="20" t="s">
        <v>148</v>
      </c>
      <c r="P139" s="20" t="s">
        <v>149</v>
      </c>
      <c r="Q139" s="20" t="s">
        <v>150</v>
      </c>
      <c r="R139" s="20" t="s">
        <v>151</v>
      </c>
      <c r="S139" s="20" t="s">
        <v>152</v>
      </c>
      <c r="T139" s="20" t="s">
        <v>153</v>
      </c>
      <c r="U139" s="20" t="s">
        <v>154</v>
      </c>
      <c r="V139" s="21" t="s">
        <v>267</v>
      </c>
      <c r="W139" s="21" t="s">
        <v>108</v>
      </c>
      <c r="X139" s="21" t="s">
        <v>109</v>
      </c>
      <c r="Y139" s="21" t="s">
        <v>1192</v>
      </c>
      <c r="Z139" s="21" t="s">
        <v>256</v>
      </c>
      <c r="AA139" s="21" t="s">
        <v>1193</v>
      </c>
      <c r="AB139" s="21" t="s">
        <v>1194</v>
      </c>
      <c r="AC139" s="21" t="s">
        <v>1195</v>
      </c>
      <c r="AD139" s="44"/>
      <c r="AE139" s="23" t="s">
        <v>115</v>
      </c>
      <c r="AF139" s="44"/>
      <c r="AG139" s="23" t="s">
        <v>116</v>
      </c>
      <c r="AH139" s="44"/>
      <c r="AI139" s="25" t="s">
        <v>117</v>
      </c>
      <c r="AJ139" s="44"/>
      <c r="AK139" s="25" t="s">
        <v>117</v>
      </c>
      <c r="AL139" s="22">
        <v>0</v>
      </c>
      <c r="AM139" s="23" t="s">
        <v>115</v>
      </c>
      <c r="AN139" s="44"/>
      <c r="AO139" s="25" t="s">
        <v>117</v>
      </c>
      <c r="AP139" s="45" t="s">
        <v>118</v>
      </c>
      <c r="AQ139" s="23" t="s">
        <v>115</v>
      </c>
      <c r="AR139" s="46"/>
      <c r="AS139" s="23" t="s">
        <v>117</v>
      </c>
      <c r="AT139" s="45" t="s">
        <v>118</v>
      </c>
      <c r="AU139" s="23" t="s">
        <v>116</v>
      </c>
      <c r="AV139" s="45" t="s">
        <v>118</v>
      </c>
      <c r="AW139" s="23" t="s">
        <v>115</v>
      </c>
      <c r="AX139" s="45" t="s">
        <v>118</v>
      </c>
      <c r="AY139" s="23" t="s">
        <v>115</v>
      </c>
      <c r="AZ139" s="45" t="s">
        <v>118</v>
      </c>
      <c r="BA139" s="23" t="s">
        <v>115</v>
      </c>
      <c r="BB139" s="46"/>
      <c r="BC139" s="23" t="s">
        <v>115</v>
      </c>
      <c r="BD139" s="45" t="s">
        <v>118</v>
      </c>
      <c r="BE139" s="23" t="s">
        <v>115</v>
      </c>
      <c r="BF139" s="45" t="s">
        <v>118</v>
      </c>
      <c r="BG139" s="23" t="s">
        <v>115</v>
      </c>
      <c r="BH139" s="46"/>
      <c r="BI139" s="25" t="s">
        <v>117</v>
      </c>
      <c r="BJ139" s="46"/>
      <c r="BK139" s="25" t="s">
        <v>117</v>
      </c>
      <c r="BL139" s="46"/>
      <c r="BM139" s="25" t="s">
        <v>117</v>
      </c>
      <c r="BN139" s="46"/>
      <c r="BO139" s="25" t="s">
        <v>117</v>
      </c>
      <c r="BP139" s="46"/>
      <c r="BQ139" s="25" t="s">
        <v>117</v>
      </c>
      <c r="BR139" s="47">
        <v>15000</v>
      </c>
      <c r="BS139" s="25" t="s">
        <v>115</v>
      </c>
      <c r="BT139" s="46"/>
      <c r="BU139" s="25" t="s">
        <v>117</v>
      </c>
      <c r="BV139" s="46"/>
      <c r="BW139" s="25" t="s">
        <v>117</v>
      </c>
      <c r="BX139" s="46"/>
      <c r="BY139" s="25" t="s">
        <v>117</v>
      </c>
      <c r="BZ139" s="46"/>
      <c r="CA139" s="25" t="s">
        <v>117</v>
      </c>
      <c r="CB139" s="45" t="s">
        <v>159</v>
      </c>
      <c r="CC139" s="25" t="s">
        <v>116</v>
      </c>
      <c r="CD139" s="46"/>
      <c r="CE139" s="25" t="s">
        <v>117</v>
      </c>
      <c r="CF139" s="46"/>
      <c r="CG139" s="25" t="s">
        <v>117</v>
      </c>
      <c r="CH139" s="151">
        <v>5000</v>
      </c>
      <c r="CI139" s="25" t="s">
        <v>116</v>
      </c>
      <c r="CJ139" s="151">
        <v>2500</v>
      </c>
      <c r="CK139" s="23" t="s">
        <v>116</v>
      </c>
      <c r="CL139" s="46">
        <v>1500</v>
      </c>
      <c r="CM139" s="48" t="s">
        <v>116</v>
      </c>
      <c r="CN139" s="46">
        <v>1500</v>
      </c>
      <c r="CO139" s="25" t="s">
        <v>116</v>
      </c>
      <c r="CP139" s="30">
        <v>400</v>
      </c>
      <c r="CQ139" s="23" t="s">
        <v>115</v>
      </c>
      <c r="CR139" s="32"/>
      <c r="CS139" s="23" t="s">
        <v>117</v>
      </c>
      <c r="CT139" s="32"/>
      <c r="CU139" s="23" t="s">
        <v>117</v>
      </c>
      <c r="CV139" s="32"/>
      <c r="CW139" s="23" t="s">
        <v>117</v>
      </c>
      <c r="CX139" s="32"/>
      <c r="CY139" s="25" t="s">
        <v>117</v>
      </c>
      <c r="CZ139" s="32"/>
      <c r="DA139" s="25" t="s">
        <v>117</v>
      </c>
      <c r="DB139" s="33" t="s">
        <v>120</v>
      </c>
      <c r="DC139" s="25" t="s">
        <v>116</v>
      </c>
      <c r="DD139" s="34">
        <f t="shared" si="30"/>
        <v>1568</v>
      </c>
      <c r="DE139" t="s">
        <v>1196</v>
      </c>
      <c r="DF139" t="str">
        <f t="shared" si="31"/>
        <v>Hong Kong#Fund#Hong Kong OFC</v>
      </c>
      <c r="DG139" t="b">
        <f t="shared" si="32"/>
        <v>1</v>
      </c>
    </row>
    <row r="140" spans="1:111" ht="78.75" customHeight="1" x14ac:dyDescent="0.35">
      <c r="A140" s="35" t="s">
        <v>1178</v>
      </c>
      <c r="B140" s="42" t="s">
        <v>1188</v>
      </c>
      <c r="C140" s="35" t="s">
        <v>141</v>
      </c>
      <c r="D140" s="36" t="s">
        <v>1197</v>
      </c>
      <c r="E140" s="35" t="s">
        <v>90</v>
      </c>
      <c r="F140" s="20" t="s">
        <v>355</v>
      </c>
      <c r="G140" s="20" t="s">
        <v>1198</v>
      </c>
      <c r="H140" s="20" t="s">
        <v>145</v>
      </c>
      <c r="I140" s="20" t="s">
        <v>146</v>
      </c>
      <c r="J140" s="20" t="s">
        <v>1182</v>
      </c>
      <c r="K140" s="20" t="s">
        <v>96</v>
      </c>
      <c r="L140" s="20" t="s">
        <v>97</v>
      </c>
      <c r="M140" s="20" t="s">
        <v>98</v>
      </c>
      <c r="N140" s="20" t="s">
        <v>147</v>
      </c>
      <c r="O140" s="20" t="s">
        <v>148</v>
      </c>
      <c r="P140" s="20" t="s">
        <v>149</v>
      </c>
      <c r="Q140" s="20" t="s">
        <v>150</v>
      </c>
      <c r="R140" s="20" t="s">
        <v>151</v>
      </c>
      <c r="S140" s="20" t="s">
        <v>152</v>
      </c>
      <c r="T140" s="20" t="s">
        <v>153</v>
      </c>
      <c r="U140" s="20" t="s">
        <v>154</v>
      </c>
      <c r="V140" s="21" t="s">
        <v>292</v>
      </c>
      <c r="W140" s="21" t="s">
        <v>108</v>
      </c>
      <c r="X140" s="21" t="s">
        <v>164</v>
      </c>
      <c r="Y140" s="21" t="s">
        <v>1199</v>
      </c>
      <c r="Z140" s="21" t="s">
        <v>111</v>
      </c>
      <c r="AA140" s="21" t="s">
        <v>166</v>
      </c>
      <c r="AB140" s="21" t="s">
        <v>1200</v>
      </c>
      <c r="AC140" s="21" t="s">
        <v>1201</v>
      </c>
      <c r="AD140" s="38"/>
      <c r="AE140" s="23" t="s">
        <v>115</v>
      </c>
      <c r="AF140" s="38"/>
      <c r="AG140" s="23" t="s">
        <v>116</v>
      </c>
      <c r="AH140" s="38"/>
      <c r="AI140" s="25" t="s">
        <v>117</v>
      </c>
      <c r="AJ140" s="38"/>
      <c r="AK140" s="25" t="s">
        <v>117</v>
      </c>
      <c r="AL140" s="22">
        <v>0</v>
      </c>
      <c r="AM140" s="23" t="s">
        <v>115</v>
      </c>
      <c r="AN140" s="38"/>
      <c r="AO140" s="25" t="s">
        <v>117</v>
      </c>
      <c r="AP140" s="39" t="s">
        <v>118</v>
      </c>
      <c r="AQ140" s="23" t="s">
        <v>115</v>
      </c>
      <c r="AR140" s="40"/>
      <c r="AS140" s="23" t="s">
        <v>117</v>
      </c>
      <c r="AT140" s="39" t="s">
        <v>118</v>
      </c>
      <c r="AU140" s="23" t="s">
        <v>116</v>
      </c>
      <c r="AV140" s="39" t="s">
        <v>118</v>
      </c>
      <c r="AW140" s="23" t="s">
        <v>115</v>
      </c>
      <c r="AX140" s="39" t="s">
        <v>118</v>
      </c>
      <c r="AY140" s="23" t="s">
        <v>115</v>
      </c>
      <c r="AZ140" s="39" t="s">
        <v>118</v>
      </c>
      <c r="BA140" s="23" t="s">
        <v>115</v>
      </c>
      <c r="BB140" s="40"/>
      <c r="BC140" s="23" t="s">
        <v>115</v>
      </c>
      <c r="BD140" s="39" t="s">
        <v>118</v>
      </c>
      <c r="BE140" s="23" t="s">
        <v>115</v>
      </c>
      <c r="BF140" s="39" t="s">
        <v>118</v>
      </c>
      <c r="BG140" s="23" t="s">
        <v>115</v>
      </c>
      <c r="BH140" s="40"/>
      <c r="BI140" s="25" t="s">
        <v>117</v>
      </c>
      <c r="BJ140" s="40"/>
      <c r="BK140" s="25" t="s">
        <v>117</v>
      </c>
      <c r="BL140" s="40"/>
      <c r="BM140" s="25" t="s">
        <v>117</v>
      </c>
      <c r="BN140" s="40"/>
      <c r="BO140" s="25" t="s">
        <v>117</v>
      </c>
      <c r="BP140" s="40"/>
      <c r="BQ140" s="25" t="s">
        <v>117</v>
      </c>
      <c r="BR140" s="37">
        <v>15000</v>
      </c>
      <c r="BS140" s="25" t="s">
        <v>115</v>
      </c>
      <c r="BT140" s="40"/>
      <c r="BU140" s="25" t="s">
        <v>117</v>
      </c>
      <c r="BV140" s="40"/>
      <c r="BW140" s="25" t="s">
        <v>117</v>
      </c>
      <c r="BX140" s="40"/>
      <c r="BY140" s="25" t="s">
        <v>117</v>
      </c>
      <c r="BZ140" s="46"/>
      <c r="CA140" s="25" t="s">
        <v>117</v>
      </c>
      <c r="CB140" s="45" t="s">
        <v>159</v>
      </c>
      <c r="CC140" s="25" t="s">
        <v>116</v>
      </c>
      <c r="CD140" s="40"/>
      <c r="CE140" s="25" t="s">
        <v>117</v>
      </c>
      <c r="CF140" s="40"/>
      <c r="CG140" s="25" t="s">
        <v>117</v>
      </c>
      <c r="CH140" s="151">
        <v>5000</v>
      </c>
      <c r="CI140" s="25" t="s">
        <v>116</v>
      </c>
      <c r="CJ140" s="151">
        <v>2500</v>
      </c>
      <c r="CK140" s="23" t="s">
        <v>116</v>
      </c>
      <c r="CL140" s="46">
        <v>1500</v>
      </c>
      <c r="CM140" s="48" t="s">
        <v>116</v>
      </c>
      <c r="CN140" s="46">
        <v>1500</v>
      </c>
      <c r="CO140" s="25" t="s">
        <v>116</v>
      </c>
      <c r="CP140" s="30">
        <v>400</v>
      </c>
      <c r="CQ140" s="23" t="s">
        <v>115</v>
      </c>
      <c r="CR140" s="32"/>
      <c r="CS140" s="23" t="s">
        <v>117</v>
      </c>
      <c r="CT140" s="32"/>
      <c r="CU140" s="23" t="s">
        <v>117</v>
      </c>
      <c r="CV140" s="32"/>
      <c r="CW140" s="23" t="s">
        <v>117</v>
      </c>
      <c r="CX140" s="32"/>
      <c r="CY140" s="25" t="s">
        <v>117</v>
      </c>
      <c r="CZ140" s="32"/>
      <c r="DA140" s="25" t="s">
        <v>117</v>
      </c>
      <c r="DB140" s="33" t="s">
        <v>120</v>
      </c>
      <c r="DC140" s="25" t="s">
        <v>116</v>
      </c>
      <c r="DD140" s="34">
        <f t="shared" si="30"/>
        <v>1568</v>
      </c>
      <c r="DE140" t="s">
        <v>1202</v>
      </c>
      <c r="DF140" t="str">
        <f t="shared" si="31"/>
        <v>Hong Kong#Fund#Hong Kong LP</v>
      </c>
      <c r="DG140" t="b">
        <f t="shared" si="32"/>
        <v>1</v>
      </c>
    </row>
    <row r="141" spans="1:111" ht="78.75" customHeight="1" x14ac:dyDescent="0.35">
      <c r="A141" s="42" t="s">
        <v>1178</v>
      </c>
      <c r="B141" s="42" t="s">
        <v>1188</v>
      </c>
      <c r="C141" s="42" t="s">
        <v>141</v>
      </c>
      <c r="D141" s="43" t="s">
        <v>1203</v>
      </c>
      <c r="E141" s="42" t="s">
        <v>90</v>
      </c>
      <c r="F141" s="20" t="s">
        <v>171</v>
      </c>
      <c r="G141" s="20" t="s">
        <v>1204</v>
      </c>
      <c r="H141" s="20" t="s">
        <v>145</v>
      </c>
      <c r="I141" s="20" t="s">
        <v>146</v>
      </c>
      <c r="J141" s="20" t="s">
        <v>1182</v>
      </c>
      <c r="K141" s="20" t="s">
        <v>96</v>
      </c>
      <c r="L141" s="20" t="s">
        <v>97</v>
      </c>
      <c r="M141" s="20" t="s">
        <v>98</v>
      </c>
      <c r="N141" s="20" t="s">
        <v>147</v>
      </c>
      <c r="O141" s="20" t="s">
        <v>148</v>
      </c>
      <c r="P141" s="20" t="s">
        <v>149</v>
      </c>
      <c r="Q141" s="20" t="s">
        <v>150</v>
      </c>
      <c r="R141" s="20" t="s">
        <v>151</v>
      </c>
      <c r="S141" s="20" t="s">
        <v>152</v>
      </c>
      <c r="T141" s="20" t="s">
        <v>153</v>
      </c>
      <c r="U141" s="20" t="s">
        <v>154</v>
      </c>
      <c r="V141" s="21" t="s">
        <v>267</v>
      </c>
      <c r="W141" s="21" t="s">
        <v>108</v>
      </c>
      <c r="X141" s="21" t="s">
        <v>109</v>
      </c>
      <c r="Y141" s="21" t="s">
        <v>1205</v>
      </c>
      <c r="Z141" s="21" t="s">
        <v>256</v>
      </c>
      <c r="AA141" s="21" t="s">
        <v>173</v>
      </c>
      <c r="AB141" s="21" t="s">
        <v>1206</v>
      </c>
      <c r="AC141" s="21" t="s">
        <v>1207</v>
      </c>
      <c r="AD141" s="44"/>
      <c r="AE141" s="23" t="s">
        <v>115</v>
      </c>
      <c r="AF141" s="44"/>
      <c r="AG141" s="23" t="s">
        <v>116</v>
      </c>
      <c r="AH141" s="44"/>
      <c r="AI141" s="25" t="s">
        <v>117</v>
      </c>
      <c r="AJ141" s="44"/>
      <c r="AK141" s="25" t="s">
        <v>117</v>
      </c>
      <c r="AL141" s="22">
        <v>0</v>
      </c>
      <c r="AM141" s="23" t="s">
        <v>115</v>
      </c>
      <c r="AN141" s="44"/>
      <c r="AO141" s="25" t="s">
        <v>117</v>
      </c>
      <c r="AP141" s="45" t="s">
        <v>118</v>
      </c>
      <c r="AQ141" s="23" t="s">
        <v>115</v>
      </c>
      <c r="AR141" s="46"/>
      <c r="AS141" s="23" t="s">
        <v>117</v>
      </c>
      <c r="AT141" s="45" t="s">
        <v>118</v>
      </c>
      <c r="AU141" s="23" t="s">
        <v>116</v>
      </c>
      <c r="AV141" s="45" t="s">
        <v>118</v>
      </c>
      <c r="AW141" s="23" t="s">
        <v>115</v>
      </c>
      <c r="AX141" s="45" t="s">
        <v>118</v>
      </c>
      <c r="AY141" s="23" t="s">
        <v>115</v>
      </c>
      <c r="AZ141" s="45" t="s">
        <v>118</v>
      </c>
      <c r="BA141" s="23" t="s">
        <v>115</v>
      </c>
      <c r="BB141" s="46"/>
      <c r="BC141" s="23" t="s">
        <v>115</v>
      </c>
      <c r="BD141" s="45" t="s">
        <v>118</v>
      </c>
      <c r="BE141" s="23" t="s">
        <v>115</v>
      </c>
      <c r="BF141" s="45" t="s">
        <v>118</v>
      </c>
      <c r="BG141" s="23" t="s">
        <v>115</v>
      </c>
      <c r="BH141" s="46"/>
      <c r="BI141" s="25" t="s">
        <v>117</v>
      </c>
      <c r="BJ141" s="46"/>
      <c r="BK141" s="25" t="s">
        <v>117</v>
      </c>
      <c r="BL141" s="46"/>
      <c r="BM141" s="25" t="s">
        <v>117</v>
      </c>
      <c r="BN141" s="46"/>
      <c r="BO141" s="25" t="s">
        <v>117</v>
      </c>
      <c r="BP141" s="46"/>
      <c r="BQ141" s="25" t="s">
        <v>117</v>
      </c>
      <c r="BR141" s="47">
        <v>15000</v>
      </c>
      <c r="BS141" s="25" t="s">
        <v>115</v>
      </c>
      <c r="BT141" s="46"/>
      <c r="BU141" s="25" t="s">
        <v>117</v>
      </c>
      <c r="BV141" s="46"/>
      <c r="BW141" s="25" t="s">
        <v>117</v>
      </c>
      <c r="BX141" s="46"/>
      <c r="BY141" s="25" t="s">
        <v>117</v>
      </c>
      <c r="BZ141" s="46"/>
      <c r="CA141" s="25" t="s">
        <v>117</v>
      </c>
      <c r="CB141" s="45" t="s">
        <v>159</v>
      </c>
      <c r="CC141" s="25" t="s">
        <v>116</v>
      </c>
      <c r="CD141" s="46"/>
      <c r="CE141" s="25" t="s">
        <v>117</v>
      </c>
      <c r="CF141" s="46"/>
      <c r="CG141" s="25" t="s">
        <v>117</v>
      </c>
      <c r="CH141" s="151">
        <v>5000</v>
      </c>
      <c r="CI141" s="25" t="s">
        <v>116</v>
      </c>
      <c r="CJ141" s="151">
        <v>2500</v>
      </c>
      <c r="CK141" s="48" t="s">
        <v>116</v>
      </c>
      <c r="CL141" s="46">
        <v>1500</v>
      </c>
      <c r="CM141" s="48" t="s">
        <v>116</v>
      </c>
      <c r="CN141" s="46">
        <v>1500</v>
      </c>
      <c r="CO141" s="25" t="s">
        <v>116</v>
      </c>
      <c r="CP141" s="30">
        <v>400</v>
      </c>
      <c r="CQ141" s="23" t="s">
        <v>115</v>
      </c>
      <c r="CR141" s="32"/>
      <c r="CS141" s="23" t="s">
        <v>117</v>
      </c>
      <c r="CT141" s="32"/>
      <c r="CU141" s="23" t="s">
        <v>117</v>
      </c>
      <c r="CV141" s="32"/>
      <c r="CW141" s="23" t="s">
        <v>117</v>
      </c>
      <c r="CX141" s="32"/>
      <c r="CY141" s="25" t="s">
        <v>117</v>
      </c>
      <c r="CZ141" s="32"/>
      <c r="DA141" s="25" t="s">
        <v>117</v>
      </c>
      <c r="DB141" s="33" t="s">
        <v>120</v>
      </c>
      <c r="DC141" s="25" t="s">
        <v>116</v>
      </c>
      <c r="DD141" s="34">
        <f t="shared" si="30"/>
        <v>1568</v>
      </c>
      <c r="DE141" t="s">
        <v>1208</v>
      </c>
      <c r="DF141" t="str">
        <f t="shared" si="31"/>
        <v>Hong Kong#Fund#Hong Kong Unit Trust</v>
      </c>
      <c r="DG141" t="b">
        <f t="shared" si="32"/>
        <v>1</v>
      </c>
    </row>
    <row r="142" spans="1:111" ht="78.75" customHeight="1" x14ac:dyDescent="0.35">
      <c r="A142" s="35" t="s">
        <v>1178</v>
      </c>
      <c r="B142" s="42" t="s">
        <v>1188</v>
      </c>
      <c r="C142" s="35" t="s">
        <v>141</v>
      </c>
      <c r="D142" s="36" t="s">
        <v>1209</v>
      </c>
      <c r="E142" s="35" t="s">
        <v>90</v>
      </c>
      <c r="F142" s="20" t="s">
        <v>1210</v>
      </c>
      <c r="G142" s="20" t="s">
        <v>1211</v>
      </c>
      <c r="H142" s="20" t="s">
        <v>145</v>
      </c>
      <c r="I142" s="20" t="s">
        <v>146</v>
      </c>
      <c r="J142" s="20" t="s">
        <v>1182</v>
      </c>
      <c r="K142" s="20" t="s">
        <v>96</v>
      </c>
      <c r="L142" s="20" t="s">
        <v>97</v>
      </c>
      <c r="M142" s="20" t="s">
        <v>98</v>
      </c>
      <c r="N142" s="20" t="s">
        <v>147</v>
      </c>
      <c r="O142" s="20" t="s">
        <v>148</v>
      </c>
      <c r="P142" s="20" t="s">
        <v>149</v>
      </c>
      <c r="Q142" s="20" t="s">
        <v>150</v>
      </c>
      <c r="R142" s="20" t="s">
        <v>151</v>
      </c>
      <c r="S142" s="20" t="s">
        <v>152</v>
      </c>
      <c r="T142" s="20" t="s">
        <v>153</v>
      </c>
      <c r="U142" s="20" t="s">
        <v>154</v>
      </c>
      <c r="V142" s="21" t="s">
        <v>292</v>
      </c>
      <c r="W142" s="21" t="s">
        <v>108</v>
      </c>
      <c r="X142" s="21" t="s">
        <v>109</v>
      </c>
      <c r="Y142" s="21" t="s">
        <v>1212</v>
      </c>
      <c r="Z142" s="21" t="s">
        <v>256</v>
      </c>
      <c r="AA142" s="21" t="s">
        <v>112</v>
      </c>
      <c r="AB142" s="21" t="s">
        <v>1213</v>
      </c>
      <c r="AC142" s="21" t="s">
        <v>1214</v>
      </c>
      <c r="AD142" s="38"/>
      <c r="AE142" s="23" t="s">
        <v>115</v>
      </c>
      <c r="AF142" s="38"/>
      <c r="AG142" s="23" t="s">
        <v>116</v>
      </c>
      <c r="AH142" s="38"/>
      <c r="AI142" s="25" t="s">
        <v>117</v>
      </c>
      <c r="AJ142" s="38"/>
      <c r="AK142" s="25" t="s">
        <v>117</v>
      </c>
      <c r="AL142" s="22">
        <v>0</v>
      </c>
      <c r="AM142" s="23" t="s">
        <v>115</v>
      </c>
      <c r="AN142" s="38"/>
      <c r="AO142" s="25" t="s">
        <v>117</v>
      </c>
      <c r="AP142" s="39" t="s">
        <v>118</v>
      </c>
      <c r="AQ142" s="23" t="s">
        <v>115</v>
      </c>
      <c r="AR142" s="40"/>
      <c r="AS142" s="23" t="s">
        <v>117</v>
      </c>
      <c r="AT142" s="39" t="s">
        <v>118</v>
      </c>
      <c r="AU142" s="23" t="s">
        <v>116</v>
      </c>
      <c r="AV142" s="39" t="s">
        <v>118</v>
      </c>
      <c r="AW142" s="23" t="s">
        <v>115</v>
      </c>
      <c r="AX142" s="39" t="s">
        <v>118</v>
      </c>
      <c r="AY142" s="23" t="s">
        <v>115</v>
      </c>
      <c r="AZ142" s="39" t="s">
        <v>118</v>
      </c>
      <c r="BA142" s="23" t="s">
        <v>115</v>
      </c>
      <c r="BB142" s="40"/>
      <c r="BC142" s="23" t="s">
        <v>115</v>
      </c>
      <c r="BD142" s="39" t="s">
        <v>118</v>
      </c>
      <c r="BE142" s="23" t="s">
        <v>115</v>
      </c>
      <c r="BF142" s="39" t="s">
        <v>118</v>
      </c>
      <c r="BG142" s="23" t="s">
        <v>115</v>
      </c>
      <c r="BH142" s="40"/>
      <c r="BI142" s="25" t="s">
        <v>117</v>
      </c>
      <c r="BJ142" s="40"/>
      <c r="BK142" s="25" t="s">
        <v>117</v>
      </c>
      <c r="BL142" s="40"/>
      <c r="BM142" s="25" t="s">
        <v>117</v>
      </c>
      <c r="BN142" s="40"/>
      <c r="BO142" s="25" t="s">
        <v>117</v>
      </c>
      <c r="BP142" s="40"/>
      <c r="BQ142" s="25" t="s">
        <v>117</v>
      </c>
      <c r="BR142" s="37">
        <v>15000</v>
      </c>
      <c r="BS142" s="25" t="s">
        <v>115</v>
      </c>
      <c r="BT142" s="40"/>
      <c r="BU142" s="25" t="s">
        <v>117</v>
      </c>
      <c r="BV142" s="40"/>
      <c r="BW142" s="25" t="s">
        <v>117</v>
      </c>
      <c r="BX142" s="40"/>
      <c r="BY142" s="25" t="s">
        <v>117</v>
      </c>
      <c r="BZ142" s="46"/>
      <c r="CA142" s="25" t="s">
        <v>117</v>
      </c>
      <c r="CB142" s="45" t="s">
        <v>159</v>
      </c>
      <c r="CC142" s="25" t="s">
        <v>116</v>
      </c>
      <c r="CD142" s="40"/>
      <c r="CE142" s="25" t="s">
        <v>117</v>
      </c>
      <c r="CF142" s="40"/>
      <c r="CG142" s="25" t="s">
        <v>117</v>
      </c>
      <c r="CH142" s="151">
        <v>5000</v>
      </c>
      <c r="CI142" s="25" t="s">
        <v>116</v>
      </c>
      <c r="CJ142" s="151">
        <v>2500</v>
      </c>
      <c r="CK142" s="48" t="s">
        <v>116</v>
      </c>
      <c r="CL142" s="46">
        <v>1500</v>
      </c>
      <c r="CM142" s="48" t="s">
        <v>116</v>
      </c>
      <c r="CN142" s="46">
        <v>1500</v>
      </c>
      <c r="CO142" s="25" t="s">
        <v>116</v>
      </c>
      <c r="CP142" s="30">
        <v>400</v>
      </c>
      <c r="CQ142" s="23" t="s">
        <v>115</v>
      </c>
      <c r="CR142" s="32"/>
      <c r="CS142" s="23" t="s">
        <v>117</v>
      </c>
      <c r="CT142" s="32"/>
      <c r="CU142" s="23" t="s">
        <v>117</v>
      </c>
      <c r="CV142" s="32"/>
      <c r="CW142" s="23" t="s">
        <v>117</v>
      </c>
      <c r="CX142" s="32"/>
      <c r="CY142" s="25" t="s">
        <v>117</v>
      </c>
      <c r="CZ142" s="32"/>
      <c r="DA142" s="25" t="s">
        <v>117</v>
      </c>
      <c r="DB142" s="33" t="s">
        <v>120</v>
      </c>
      <c r="DC142" s="25" t="s">
        <v>116</v>
      </c>
      <c r="DD142" s="34">
        <f t="shared" si="30"/>
        <v>1568</v>
      </c>
      <c r="DE142" t="s">
        <v>1215</v>
      </c>
      <c r="DF142" t="str">
        <f t="shared" si="31"/>
        <v>Hong Kong#Fund#Hong Kong CLS</v>
      </c>
      <c r="DG142" t="b">
        <f t="shared" si="32"/>
        <v>1</v>
      </c>
    </row>
    <row r="143" spans="1:111" ht="78.75" customHeight="1" x14ac:dyDescent="0.35">
      <c r="A143" s="42" t="s">
        <v>1178</v>
      </c>
      <c r="B143" s="42" t="s">
        <v>1188</v>
      </c>
      <c r="C143" s="42" t="s">
        <v>141</v>
      </c>
      <c r="D143" s="43" t="s">
        <v>1216</v>
      </c>
      <c r="E143" s="42" t="s">
        <v>90</v>
      </c>
      <c r="F143" s="20" t="s">
        <v>1217</v>
      </c>
      <c r="G143" s="20" t="s">
        <v>1218</v>
      </c>
      <c r="H143" s="20" t="s">
        <v>145</v>
      </c>
      <c r="I143" s="20" t="s">
        <v>146</v>
      </c>
      <c r="J143" s="20" t="s">
        <v>1182</v>
      </c>
      <c r="K143" s="20" t="s">
        <v>96</v>
      </c>
      <c r="L143" s="20" t="s">
        <v>97</v>
      </c>
      <c r="M143" s="20" t="s">
        <v>98</v>
      </c>
      <c r="N143" s="20" t="s">
        <v>147</v>
      </c>
      <c r="O143" s="20" t="s">
        <v>148</v>
      </c>
      <c r="P143" s="20" t="s">
        <v>149</v>
      </c>
      <c r="Q143" s="20" t="s">
        <v>150</v>
      </c>
      <c r="R143" s="20" t="s">
        <v>151</v>
      </c>
      <c r="S143" s="20" t="s">
        <v>152</v>
      </c>
      <c r="T143" s="20" t="s">
        <v>153</v>
      </c>
      <c r="U143" s="20" t="s">
        <v>154</v>
      </c>
      <c r="V143" s="21" t="s">
        <v>300</v>
      </c>
      <c r="W143" s="21" t="s">
        <v>108</v>
      </c>
      <c r="X143" s="21" t="s">
        <v>136</v>
      </c>
      <c r="Y143" s="21" t="s">
        <v>1219</v>
      </c>
      <c r="Z143" s="21" t="s">
        <v>256</v>
      </c>
      <c r="AA143" s="21" t="s">
        <v>173</v>
      </c>
      <c r="AB143" s="21" t="s">
        <v>1220</v>
      </c>
      <c r="AC143" s="21" t="s">
        <v>1221</v>
      </c>
      <c r="AD143" s="44"/>
      <c r="AE143" s="23" t="s">
        <v>115</v>
      </c>
      <c r="AF143" s="44"/>
      <c r="AG143" s="23" t="s">
        <v>116</v>
      </c>
      <c r="AH143" s="44"/>
      <c r="AI143" s="25" t="s">
        <v>117</v>
      </c>
      <c r="AJ143" s="44"/>
      <c r="AK143" s="25" t="s">
        <v>117</v>
      </c>
      <c r="AL143" s="22">
        <v>0</v>
      </c>
      <c r="AM143" s="23" t="s">
        <v>115</v>
      </c>
      <c r="AN143" s="44"/>
      <c r="AO143" s="25" t="s">
        <v>117</v>
      </c>
      <c r="AP143" s="45" t="s">
        <v>118</v>
      </c>
      <c r="AQ143" s="23" t="s">
        <v>115</v>
      </c>
      <c r="AR143" s="46"/>
      <c r="AS143" s="23" t="s">
        <v>117</v>
      </c>
      <c r="AT143" s="45" t="s">
        <v>118</v>
      </c>
      <c r="AU143" s="23" t="s">
        <v>116</v>
      </c>
      <c r="AV143" s="45" t="s">
        <v>118</v>
      </c>
      <c r="AW143" s="23" t="s">
        <v>115</v>
      </c>
      <c r="AX143" s="45" t="s">
        <v>118</v>
      </c>
      <c r="AY143" s="23" t="s">
        <v>115</v>
      </c>
      <c r="AZ143" s="45" t="s">
        <v>118</v>
      </c>
      <c r="BA143" s="23" t="s">
        <v>115</v>
      </c>
      <c r="BB143" s="46"/>
      <c r="BC143" s="23" t="s">
        <v>115</v>
      </c>
      <c r="BD143" s="45" t="s">
        <v>118</v>
      </c>
      <c r="BE143" s="23" t="s">
        <v>115</v>
      </c>
      <c r="BF143" s="45" t="s">
        <v>118</v>
      </c>
      <c r="BG143" s="23" t="s">
        <v>115</v>
      </c>
      <c r="BH143" s="46"/>
      <c r="BI143" s="25" t="s">
        <v>117</v>
      </c>
      <c r="BJ143" s="46"/>
      <c r="BK143" s="25" t="s">
        <v>117</v>
      </c>
      <c r="BL143" s="46"/>
      <c r="BM143" s="25" t="s">
        <v>117</v>
      </c>
      <c r="BN143" s="46"/>
      <c r="BO143" s="25" t="s">
        <v>117</v>
      </c>
      <c r="BP143" s="46"/>
      <c r="BQ143" s="25" t="s">
        <v>117</v>
      </c>
      <c r="BR143" s="47">
        <v>15000</v>
      </c>
      <c r="BS143" s="25" t="s">
        <v>115</v>
      </c>
      <c r="BT143" s="46"/>
      <c r="BU143" s="25" t="s">
        <v>117</v>
      </c>
      <c r="BV143" s="46"/>
      <c r="BW143" s="25" t="s">
        <v>117</v>
      </c>
      <c r="BX143" s="46"/>
      <c r="BY143" s="25" t="s">
        <v>117</v>
      </c>
      <c r="BZ143" s="46"/>
      <c r="CA143" s="25" t="s">
        <v>117</v>
      </c>
      <c r="CB143" s="45" t="s">
        <v>159</v>
      </c>
      <c r="CC143" s="25" t="s">
        <v>116</v>
      </c>
      <c r="CD143" s="46"/>
      <c r="CE143" s="25" t="s">
        <v>117</v>
      </c>
      <c r="CF143" s="46"/>
      <c r="CG143" s="25" t="s">
        <v>117</v>
      </c>
      <c r="CH143" s="151">
        <v>5000</v>
      </c>
      <c r="CI143" s="25" t="s">
        <v>116</v>
      </c>
      <c r="CJ143" s="151">
        <v>2500</v>
      </c>
      <c r="CK143" s="48" t="s">
        <v>116</v>
      </c>
      <c r="CL143" s="46">
        <v>1500</v>
      </c>
      <c r="CM143" s="48" t="s">
        <v>116</v>
      </c>
      <c r="CN143" s="46">
        <v>1500</v>
      </c>
      <c r="CO143" s="25" t="s">
        <v>116</v>
      </c>
      <c r="CP143" s="30">
        <v>400</v>
      </c>
      <c r="CQ143" s="23" t="s">
        <v>115</v>
      </c>
      <c r="CR143" s="32"/>
      <c r="CS143" s="23" t="s">
        <v>117</v>
      </c>
      <c r="CT143" s="32"/>
      <c r="CU143" s="23" t="s">
        <v>117</v>
      </c>
      <c r="CV143" s="32"/>
      <c r="CW143" s="23" t="s">
        <v>117</v>
      </c>
      <c r="CX143" s="32"/>
      <c r="CY143" s="25" t="s">
        <v>117</v>
      </c>
      <c r="CZ143" s="32"/>
      <c r="DA143" s="25" t="s">
        <v>117</v>
      </c>
      <c r="DB143" s="33" t="s">
        <v>120</v>
      </c>
      <c r="DC143" s="25" t="s">
        <v>116</v>
      </c>
      <c r="DD143" s="34">
        <f t="shared" si="30"/>
        <v>1568</v>
      </c>
      <c r="DE143" t="s">
        <v>1222</v>
      </c>
      <c r="DF143" t="str">
        <f t="shared" si="31"/>
        <v>Hong Kong#Fund#Hong Kong Business Trust</v>
      </c>
      <c r="DG143" t="b">
        <f t="shared" si="32"/>
        <v>1</v>
      </c>
    </row>
    <row r="144" spans="1:111" ht="78.75" hidden="1" customHeight="1" x14ac:dyDescent="0.35">
      <c r="A144" s="184" t="s">
        <v>1223</v>
      </c>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c r="AA144" s="184"/>
      <c r="AB144" s="184"/>
      <c r="AC144" s="184"/>
      <c r="AD144" s="184"/>
      <c r="AE144" s="184"/>
      <c r="AF144" s="184"/>
      <c r="AG144" s="184"/>
      <c r="AH144" s="184"/>
      <c r="AI144" s="184"/>
      <c r="AJ144" s="184"/>
      <c r="AK144" s="184"/>
      <c r="AL144" s="184"/>
      <c r="AM144" s="184"/>
      <c r="AN144" s="184"/>
      <c r="AO144" s="184"/>
      <c r="AP144" s="184"/>
      <c r="AQ144" s="184"/>
      <c r="AR144" s="184"/>
      <c r="AS144" s="184"/>
      <c r="AT144" s="184"/>
      <c r="AU144" s="184"/>
      <c r="AV144" s="184"/>
      <c r="AW144" s="184"/>
      <c r="AX144" s="184"/>
      <c r="AY144" s="184"/>
      <c r="AZ144" s="184"/>
      <c r="BA144" s="184"/>
      <c r="BB144" s="184"/>
      <c r="BC144" s="184"/>
      <c r="BD144" s="184"/>
      <c r="BE144" s="184"/>
      <c r="BF144" s="184"/>
      <c r="BG144" s="184"/>
      <c r="BH144" s="184"/>
      <c r="BI144" s="184"/>
      <c r="BJ144" s="184"/>
      <c r="BK144" s="184"/>
      <c r="BL144" s="184"/>
      <c r="BM144" s="184"/>
      <c r="BN144" s="184"/>
      <c r="BO144" s="184"/>
      <c r="BP144" s="184"/>
      <c r="BQ144" s="184"/>
      <c r="BR144" s="184"/>
      <c r="BS144" s="184"/>
      <c r="BT144" s="184"/>
      <c r="BU144" s="184"/>
      <c r="BV144" s="184"/>
      <c r="BW144" s="184"/>
      <c r="BX144" s="184"/>
      <c r="BY144" s="184"/>
      <c r="BZ144" s="184"/>
      <c r="CA144" s="184"/>
      <c r="CB144" s="184"/>
      <c r="CC144" s="184"/>
      <c r="CD144" s="184"/>
      <c r="CE144" s="184"/>
      <c r="CF144" s="184"/>
      <c r="CG144" s="184"/>
      <c r="CH144" s="184"/>
      <c r="CI144" s="184"/>
      <c r="CJ144" s="184"/>
      <c r="CK144" s="184"/>
      <c r="CL144" s="184"/>
      <c r="CM144" s="184"/>
      <c r="CN144" s="184"/>
      <c r="CO144" s="184"/>
      <c r="CP144" s="184"/>
      <c r="CQ144" s="184"/>
      <c r="CR144" s="184"/>
      <c r="CS144" s="184"/>
      <c r="CT144" s="184"/>
      <c r="CU144" s="184"/>
      <c r="CV144" s="184"/>
      <c r="CW144" s="184"/>
      <c r="CX144" s="184"/>
      <c r="CY144" s="184"/>
      <c r="CZ144" s="184"/>
      <c r="DA144" s="184"/>
      <c r="DB144" s="184"/>
      <c r="DC144" s="184"/>
      <c r="DE144" t="s">
        <v>85</v>
      </c>
      <c r="DF144" t="str">
        <f>A137&amp;"#"&amp;C137&amp;"#"&amp;D137</f>
        <v xml:space="preserve">   HONG KONG##</v>
      </c>
    </row>
    <row r="145" spans="1:111" ht="78.75" hidden="1" customHeight="1" x14ac:dyDescent="0.35">
      <c r="A145" s="18" t="s">
        <v>1224</v>
      </c>
      <c r="B145" s="72" t="s">
        <v>1225</v>
      </c>
      <c r="C145" s="18" t="s">
        <v>88</v>
      </c>
      <c r="D145" s="19" t="s">
        <v>1226</v>
      </c>
      <c r="E145" s="18" t="s">
        <v>1227</v>
      </c>
      <c r="F145" s="20" t="s">
        <v>1228</v>
      </c>
      <c r="G145" s="20" t="s">
        <v>1229</v>
      </c>
      <c r="H145" s="20" t="s">
        <v>93</v>
      </c>
      <c r="I145" s="20" t="s">
        <v>94</v>
      </c>
      <c r="J145" s="20" t="s">
        <v>1230</v>
      </c>
      <c r="K145" s="20" t="s">
        <v>96</v>
      </c>
      <c r="L145" s="20" t="s">
        <v>97</v>
      </c>
      <c r="M145" s="20" t="s">
        <v>98</v>
      </c>
      <c r="N145" s="20" t="s">
        <v>1231</v>
      </c>
      <c r="O145" s="20" t="s">
        <v>100</v>
      </c>
      <c r="P145" s="20" t="s">
        <v>101</v>
      </c>
      <c r="Q145" s="20" t="s">
        <v>102</v>
      </c>
      <c r="R145" s="20" t="s">
        <v>103</v>
      </c>
      <c r="S145" s="20" t="s">
        <v>104</v>
      </c>
      <c r="T145" s="20" t="s">
        <v>105</v>
      </c>
      <c r="U145" s="20" t="s">
        <v>106</v>
      </c>
      <c r="V145" s="21" t="s">
        <v>243</v>
      </c>
      <c r="W145" s="21" t="s">
        <v>108</v>
      </c>
      <c r="X145" s="21" t="s">
        <v>109</v>
      </c>
      <c r="Y145" s="21" t="s">
        <v>1232</v>
      </c>
      <c r="Z145" s="21" t="s">
        <v>1233</v>
      </c>
      <c r="AA145" s="21" t="s">
        <v>601</v>
      </c>
      <c r="AB145" s="21" t="s">
        <v>1234</v>
      </c>
      <c r="AC145" s="21" t="s">
        <v>1235</v>
      </c>
      <c r="AD145" s="26">
        <v>550000</v>
      </c>
      <c r="AE145" s="23" t="s">
        <v>115</v>
      </c>
      <c r="AF145" s="28"/>
      <c r="AG145" s="23" t="s">
        <v>116</v>
      </c>
      <c r="AH145" s="28"/>
      <c r="AI145" s="25" t="s">
        <v>117</v>
      </c>
      <c r="AJ145" s="28"/>
      <c r="AK145" s="25" t="s">
        <v>117</v>
      </c>
      <c r="AL145" s="22">
        <v>0</v>
      </c>
      <c r="AM145" s="23" t="s">
        <v>115</v>
      </c>
      <c r="AN145" s="28"/>
      <c r="AO145" s="25" t="s">
        <v>117</v>
      </c>
      <c r="AP145" s="27" t="s">
        <v>118</v>
      </c>
      <c r="AQ145" s="23" t="s">
        <v>115</v>
      </c>
      <c r="AR145" s="28"/>
      <c r="AS145" s="23" t="s">
        <v>117</v>
      </c>
      <c r="AT145" s="26">
        <v>480000</v>
      </c>
      <c r="AU145" s="23" t="s">
        <v>116</v>
      </c>
      <c r="AV145" s="26">
        <v>325000</v>
      </c>
      <c r="AW145" s="23" t="s">
        <v>115</v>
      </c>
      <c r="AX145" s="26">
        <v>275000</v>
      </c>
      <c r="AY145" s="23" t="s">
        <v>115</v>
      </c>
      <c r="AZ145" s="27" t="s">
        <v>118</v>
      </c>
      <c r="BA145" s="23" t="s">
        <v>115</v>
      </c>
      <c r="BB145" s="28"/>
      <c r="BC145" s="23" t="s">
        <v>115</v>
      </c>
      <c r="BD145" s="26">
        <v>3000</v>
      </c>
      <c r="BE145" s="23" t="s">
        <v>115</v>
      </c>
      <c r="BF145" s="26">
        <v>3000</v>
      </c>
      <c r="BG145" s="23" t="s">
        <v>115</v>
      </c>
      <c r="BH145" s="24"/>
      <c r="BI145" s="25" t="s">
        <v>117</v>
      </c>
      <c r="BJ145" s="24"/>
      <c r="BK145" s="25" t="s">
        <v>117</v>
      </c>
      <c r="BL145" s="24"/>
      <c r="BM145" s="25" t="s">
        <v>117</v>
      </c>
      <c r="BN145" s="24"/>
      <c r="BO145" s="25" t="s">
        <v>117</v>
      </c>
      <c r="BP145" s="24"/>
      <c r="BQ145" s="25" t="s">
        <v>117</v>
      </c>
      <c r="BR145" s="24"/>
      <c r="BS145" s="25" t="s">
        <v>117</v>
      </c>
      <c r="BT145" s="24"/>
      <c r="BU145" s="25" t="s">
        <v>117</v>
      </c>
      <c r="BV145" s="24"/>
      <c r="BW145" s="25" t="s">
        <v>117</v>
      </c>
      <c r="BX145" s="24"/>
      <c r="BY145" s="25" t="s">
        <v>117</v>
      </c>
      <c r="BZ145" s="24"/>
      <c r="CA145" s="25" t="s">
        <v>117</v>
      </c>
      <c r="CB145" s="24"/>
      <c r="CC145" s="25" t="s">
        <v>117</v>
      </c>
      <c r="CD145" s="24"/>
      <c r="CE145" s="25" t="s">
        <v>117</v>
      </c>
      <c r="CF145" s="24"/>
      <c r="CG145" s="25" t="s">
        <v>117</v>
      </c>
      <c r="CH145" s="24"/>
      <c r="CI145" s="25"/>
      <c r="CJ145" s="24"/>
      <c r="CK145" s="29" t="s">
        <v>117</v>
      </c>
      <c r="CL145" s="24"/>
      <c r="CM145" s="29" t="s">
        <v>117</v>
      </c>
      <c r="CN145" s="24"/>
      <c r="CO145" s="25" t="s">
        <v>117</v>
      </c>
      <c r="CP145" s="30">
        <v>400</v>
      </c>
      <c r="CQ145" s="23" t="s">
        <v>115</v>
      </c>
      <c r="CR145" s="32"/>
      <c r="CS145" s="23" t="s">
        <v>117</v>
      </c>
      <c r="CT145" s="32"/>
      <c r="CU145" s="23" t="s">
        <v>117</v>
      </c>
      <c r="CV145" s="32"/>
      <c r="CW145" s="23" t="s">
        <v>117</v>
      </c>
      <c r="CX145" s="32"/>
      <c r="CY145" s="25" t="s">
        <v>117</v>
      </c>
      <c r="CZ145" s="32"/>
      <c r="DA145" s="25" t="s">
        <v>117</v>
      </c>
      <c r="DB145" s="33" t="s">
        <v>120</v>
      </c>
      <c r="DC145" s="25" t="s">
        <v>116</v>
      </c>
      <c r="DD145" s="34">
        <f t="shared" ref="DD145:DD156" si="33">ROUND(0.075*SUM(AD145,AF145,AH145,AJ145,AL145,AN145,AP145,AR145,AT145,AV145,AX145,AZ145,BB145,BR145,BT145,BV145,BX145,BZ145,CB145,CD145,CF145,CJ145,CL145,CN145,CP145,CR145,CT145,CV145,CX145,CZ145),0)</f>
        <v>122280</v>
      </c>
      <c r="DE145" t="s">
        <v>1236</v>
      </c>
      <c r="DF145" t="str">
        <f t="shared" ref="DF145:DF156" si="34">A145&amp;"#"&amp;C145&amp;"#"&amp;D145</f>
        <v>India#Company#India Private Limited</v>
      </c>
      <c r="DG145" t="b">
        <f t="shared" ref="DG145:DG156" si="35">DE145=DF145</f>
        <v>1</v>
      </c>
    </row>
    <row r="146" spans="1:111" ht="78.75" hidden="1" customHeight="1" x14ac:dyDescent="0.35">
      <c r="A146" s="72" t="s">
        <v>1224</v>
      </c>
      <c r="B146" s="72" t="s">
        <v>1225</v>
      </c>
      <c r="C146" s="72" t="s">
        <v>122</v>
      </c>
      <c r="D146" s="73" t="s">
        <v>1237</v>
      </c>
      <c r="E146" s="72" t="s">
        <v>1227</v>
      </c>
      <c r="F146" s="20" t="s">
        <v>124</v>
      </c>
      <c r="G146" s="20" t="s">
        <v>1238</v>
      </c>
      <c r="H146" s="20" t="s">
        <v>126</v>
      </c>
      <c r="I146" s="20" t="s">
        <v>127</v>
      </c>
      <c r="J146" s="20" t="s">
        <v>1230</v>
      </c>
      <c r="K146" s="20" t="s">
        <v>96</v>
      </c>
      <c r="L146" s="20" t="s">
        <v>97</v>
      </c>
      <c r="M146" s="20" t="s">
        <v>98</v>
      </c>
      <c r="N146" s="20" t="s">
        <v>128</v>
      </c>
      <c r="O146" s="20" t="s">
        <v>129</v>
      </c>
      <c r="P146" s="20" t="s">
        <v>130</v>
      </c>
      <c r="Q146" s="20" t="s">
        <v>131</v>
      </c>
      <c r="R146" s="20" t="s">
        <v>132</v>
      </c>
      <c r="S146" s="20" t="s">
        <v>133</v>
      </c>
      <c r="T146" s="20" t="s">
        <v>134</v>
      </c>
      <c r="U146" s="20" t="s">
        <v>135</v>
      </c>
      <c r="V146" s="21" t="s">
        <v>122</v>
      </c>
      <c r="W146" s="21" t="s">
        <v>108</v>
      </c>
      <c r="X146" s="21" t="s">
        <v>136</v>
      </c>
      <c r="Y146" s="21" t="s">
        <v>1239</v>
      </c>
      <c r="Z146" s="21" t="s">
        <v>111</v>
      </c>
      <c r="AA146" s="21"/>
      <c r="AB146" s="21" t="s">
        <v>1240</v>
      </c>
      <c r="AC146" s="21" t="s">
        <v>1241</v>
      </c>
      <c r="AD146" s="26">
        <v>250000</v>
      </c>
      <c r="AE146" s="23" t="s">
        <v>115</v>
      </c>
      <c r="AF146" s="75"/>
      <c r="AG146" s="23" t="s">
        <v>116</v>
      </c>
      <c r="AH146" s="75"/>
      <c r="AI146" s="25" t="s">
        <v>117</v>
      </c>
      <c r="AJ146" s="75"/>
      <c r="AK146" s="25" t="s">
        <v>117</v>
      </c>
      <c r="AL146" s="22">
        <v>0</v>
      </c>
      <c r="AM146" s="23" t="s">
        <v>115</v>
      </c>
      <c r="AN146" s="75"/>
      <c r="AO146" s="25" t="s">
        <v>117</v>
      </c>
      <c r="AP146" s="58" t="s">
        <v>118</v>
      </c>
      <c r="AQ146" s="23" t="s">
        <v>117</v>
      </c>
      <c r="AR146" s="26">
        <v>250000</v>
      </c>
      <c r="AS146" s="23" t="s">
        <v>115</v>
      </c>
      <c r="AT146" s="58" t="s">
        <v>118</v>
      </c>
      <c r="AU146" s="23" t="s">
        <v>116</v>
      </c>
      <c r="AV146" s="58" t="s">
        <v>118</v>
      </c>
      <c r="AW146" s="23" t="s">
        <v>115</v>
      </c>
      <c r="AX146" s="58" t="s">
        <v>118</v>
      </c>
      <c r="AY146" s="23" t="s">
        <v>115</v>
      </c>
      <c r="AZ146" s="26">
        <v>25000</v>
      </c>
      <c r="BA146" s="23" t="s">
        <v>115</v>
      </c>
      <c r="BB146" s="75"/>
      <c r="BC146" s="23" t="s">
        <v>115</v>
      </c>
      <c r="BD146" s="58" t="s">
        <v>118</v>
      </c>
      <c r="BE146" s="23" t="s">
        <v>115</v>
      </c>
      <c r="BF146" s="58" t="s">
        <v>118</v>
      </c>
      <c r="BG146" s="23" t="s">
        <v>115</v>
      </c>
      <c r="BH146" s="75"/>
      <c r="BI146" s="25" t="s">
        <v>117</v>
      </c>
      <c r="BJ146" s="75"/>
      <c r="BK146" s="25" t="s">
        <v>117</v>
      </c>
      <c r="BL146" s="75"/>
      <c r="BM146" s="25" t="s">
        <v>117</v>
      </c>
      <c r="BN146" s="75"/>
      <c r="BO146" s="25" t="s">
        <v>117</v>
      </c>
      <c r="BP146" s="75"/>
      <c r="BQ146" s="25" t="s">
        <v>117</v>
      </c>
      <c r="BR146" s="75"/>
      <c r="BS146" s="25" t="s">
        <v>117</v>
      </c>
      <c r="BT146" s="75"/>
      <c r="BU146" s="25" t="s">
        <v>117</v>
      </c>
      <c r="BV146" s="75"/>
      <c r="BW146" s="25" t="s">
        <v>117</v>
      </c>
      <c r="BX146" s="75"/>
      <c r="BY146" s="25" t="s">
        <v>117</v>
      </c>
      <c r="BZ146" s="75"/>
      <c r="CA146" s="25" t="s">
        <v>117</v>
      </c>
      <c r="CB146" s="75"/>
      <c r="CC146" s="25" t="s">
        <v>117</v>
      </c>
      <c r="CD146" s="75"/>
      <c r="CE146" s="25" t="s">
        <v>117</v>
      </c>
      <c r="CF146" s="75"/>
      <c r="CG146" s="25" t="s">
        <v>117</v>
      </c>
      <c r="CH146" s="75"/>
      <c r="CI146" s="25"/>
      <c r="CJ146" s="75"/>
      <c r="CK146" s="62" t="s">
        <v>117</v>
      </c>
      <c r="CL146" s="75"/>
      <c r="CM146" s="62" t="s">
        <v>117</v>
      </c>
      <c r="CN146" s="75"/>
      <c r="CO146" s="25" t="s">
        <v>117</v>
      </c>
      <c r="CP146" s="30">
        <v>400</v>
      </c>
      <c r="CQ146" s="23" t="s">
        <v>115</v>
      </c>
      <c r="CR146" s="32"/>
      <c r="CS146" s="23" t="s">
        <v>117</v>
      </c>
      <c r="CT146" s="32"/>
      <c r="CU146" s="23" t="s">
        <v>117</v>
      </c>
      <c r="CV146" s="32"/>
      <c r="CW146" s="23" t="s">
        <v>117</v>
      </c>
      <c r="CX146" s="32"/>
      <c r="CY146" s="25" t="s">
        <v>117</v>
      </c>
      <c r="CZ146" s="32"/>
      <c r="DA146" s="25" t="s">
        <v>117</v>
      </c>
      <c r="DB146" s="33" t="s">
        <v>120</v>
      </c>
      <c r="DC146" s="25" t="s">
        <v>116</v>
      </c>
      <c r="DD146" s="34">
        <f t="shared" si="33"/>
        <v>39405</v>
      </c>
      <c r="DE146" t="s">
        <v>1242</v>
      </c>
      <c r="DF146" t="str">
        <f t="shared" si="34"/>
        <v>India#Trust#India Trust</v>
      </c>
      <c r="DG146" t="b">
        <f t="shared" si="35"/>
        <v>1</v>
      </c>
    </row>
    <row r="147" spans="1:111" ht="78.75" hidden="1" customHeight="1" x14ac:dyDescent="0.35">
      <c r="A147" s="18" t="s">
        <v>1224</v>
      </c>
      <c r="B147" s="72" t="s">
        <v>1225</v>
      </c>
      <c r="C147" s="18" t="s">
        <v>122</v>
      </c>
      <c r="D147" s="19" t="s">
        <v>1243</v>
      </c>
      <c r="E147" s="18" t="s">
        <v>1227</v>
      </c>
      <c r="F147" s="20" t="s">
        <v>1244</v>
      </c>
      <c r="G147" s="20" t="s">
        <v>1245</v>
      </c>
      <c r="H147" s="20" t="s">
        <v>126</v>
      </c>
      <c r="I147" s="20" t="s">
        <v>127</v>
      </c>
      <c r="J147" s="20" t="s">
        <v>1230</v>
      </c>
      <c r="K147" s="20" t="s">
        <v>96</v>
      </c>
      <c r="L147" s="20" t="s">
        <v>97</v>
      </c>
      <c r="M147" s="20" t="s">
        <v>98</v>
      </c>
      <c r="N147" s="20" t="s">
        <v>128</v>
      </c>
      <c r="O147" s="20" t="s">
        <v>129</v>
      </c>
      <c r="P147" s="20" t="s">
        <v>130</v>
      </c>
      <c r="Q147" s="20" t="s">
        <v>131</v>
      </c>
      <c r="R147" s="20" t="s">
        <v>132</v>
      </c>
      <c r="S147" s="20" t="s">
        <v>133</v>
      </c>
      <c r="T147" s="20" t="s">
        <v>134</v>
      </c>
      <c r="U147" s="20" t="s">
        <v>135</v>
      </c>
      <c r="V147" s="21" t="s">
        <v>292</v>
      </c>
      <c r="W147" s="21" t="s">
        <v>108</v>
      </c>
      <c r="X147" s="21" t="s">
        <v>109</v>
      </c>
      <c r="Y147" s="21" t="s">
        <v>1246</v>
      </c>
      <c r="Z147" s="21" t="s">
        <v>1247</v>
      </c>
      <c r="AA147" s="21" t="s">
        <v>1248</v>
      </c>
      <c r="AB147" s="21" t="s">
        <v>1249</v>
      </c>
      <c r="AC147" s="21" t="s">
        <v>1250</v>
      </c>
      <c r="AD147" s="26">
        <v>125000</v>
      </c>
      <c r="AE147" s="23" t="s">
        <v>115</v>
      </c>
      <c r="AF147" s="28"/>
      <c r="AG147" s="23" t="s">
        <v>116</v>
      </c>
      <c r="AH147" s="28"/>
      <c r="AI147" s="25" t="s">
        <v>117</v>
      </c>
      <c r="AJ147" s="28"/>
      <c r="AK147" s="25" t="s">
        <v>117</v>
      </c>
      <c r="AL147" s="22">
        <v>0</v>
      </c>
      <c r="AM147" s="23" t="s">
        <v>115</v>
      </c>
      <c r="AN147" s="26">
        <v>100</v>
      </c>
      <c r="AO147" s="25" t="s">
        <v>116</v>
      </c>
      <c r="AP147" s="27" t="s">
        <v>118</v>
      </c>
      <c r="AQ147" s="23" t="s">
        <v>117</v>
      </c>
      <c r="AR147" s="28"/>
      <c r="AS147" s="23" t="s">
        <v>115</v>
      </c>
      <c r="AT147" s="27" t="s">
        <v>118</v>
      </c>
      <c r="AU147" s="23" t="s">
        <v>116</v>
      </c>
      <c r="AV147" s="27" t="s">
        <v>118</v>
      </c>
      <c r="AW147" s="23" t="s">
        <v>115</v>
      </c>
      <c r="AX147" s="27" t="s">
        <v>118</v>
      </c>
      <c r="AY147" s="23" t="s">
        <v>115</v>
      </c>
      <c r="AZ147" s="27" t="s">
        <v>118</v>
      </c>
      <c r="BA147" s="23" t="s">
        <v>115</v>
      </c>
      <c r="BB147" s="28"/>
      <c r="BC147" s="23" t="s">
        <v>115</v>
      </c>
      <c r="BD147" s="27" t="s">
        <v>118</v>
      </c>
      <c r="BE147" s="23" t="s">
        <v>115</v>
      </c>
      <c r="BF147" s="27" t="s">
        <v>118</v>
      </c>
      <c r="BG147" s="23" t="s">
        <v>115</v>
      </c>
      <c r="BH147" s="28"/>
      <c r="BI147" s="25" t="s">
        <v>117</v>
      </c>
      <c r="BJ147" s="28"/>
      <c r="BK147" s="25" t="s">
        <v>117</v>
      </c>
      <c r="BL147" s="28"/>
      <c r="BM147" s="25" t="s">
        <v>117</v>
      </c>
      <c r="BN147" s="28"/>
      <c r="BO147" s="25" t="s">
        <v>117</v>
      </c>
      <c r="BP147" s="28"/>
      <c r="BQ147" s="25" t="s">
        <v>117</v>
      </c>
      <c r="BR147" s="28"/>
      <c r="BS147" s="25" t="s">
        <v>117</v>
      </c>
      <c r="BT147" s="28"/>
      <c r="BU147" s="25" t="s">
        <v>117</v>
      </c>
      <c r="BV147" s="28"/>
      <c r="BW147" s="25" t="s">
        <v>117</v>
      </c>
      <c r="BX147" s="28"/>
      <c r="BY147" s="25" t="s">
        <v>117</v>
      </c>
      <c r="BZ147" s="28"/>
      <c r="CA147" s="25" t="s">
        <v>117</v>
      </c>
      <c r="CB147" s="28"/>
      <c r="CC147" s="25" t="s">
        <v>117</v>
      </c>
      <c r="CD147" s="28"/>
      <c r="CE147" s="25" t="s">
        <v>117</v>
      </c>
      <c r="CF147" s="28"/>
      <c r="CG147" s="25" t="s">
        <v>117</v>
      </c>
      <c r="CH147" s="28"/>
      <c r="CI147" s="25"/>
      <c r="CJ147" s="28"/>
      <c r="CK147" s="29" t="s">
        <v>117</v>
      </c>
      <c r="CL147" s="28"/>
      <c r="CM147" s="29" t="s">
        <v>117</v>
      </c>
      <c r="CN147" s="28"/>
      <c r="CO147" s="25" t="s">
        <v>117</v>
      </c>
      <c r="CP147" s="30">
        <v>400</v>
      </c>
      <c r="CQ147" s="23" t="s">
        <v>115</v>
      </c>
      <c r="CR147" s="32"/>
      <c r="CS147" s="23" t="s">
        <v>117</v>
      </c>
      <c r="CT147" s="32"/>
      <c r="CU147" s="23" t="s">
        <v>117</v>
      </c>
      <c r="CV147" s="32"/>
      <c r="CW147" s="23" t="s">
        <v>117</v>
      </c>
      <c r="CX147" s="32"/>
      <c r="CY147" s="25" t="s">
        <v>117</v>
      </c>
      <c r="CZ147" s="32"/>
      <c r="DA147" s="25" t="s">
        <v>117</v>
      </c>
      <c r="DB147" s="33" t="s">
        <v>120</v>
      </c>
      <c r="DC147" s="25" t="s">
        <v>116</v>
      </c>
      <c r="DD147" s="34">
        <f t="shared" si="33"/>
        <v>9413</v>
      </c>
      <c r="DE147" t="s">
        <v>1251</v>
      </c>
      <c r="DF147" t="str">
        <f t="shared" si="34"/>
        <v>India#Trust#India AIF Trust</v>
      </c>
      <c r="DG147" t="b">
        <f t="shared" si="35"/>
        <v>1</v>
      </c>
    </row>
    <row r="148" spans="1:111" ht="78.75" customHeight="1" x14ac:dyDescent="0.35">
      <c r="A148" s="35" t="s">
        <v>1224</v>
      </c>
      <c r="B148" s="42" t="s">
        <v>1188</v>
      </c>
      <c r="C148" s="35" t="s">
        <v>141</v>
      </c>
      <c r="D148" s="36" t="s">
        <v>1252</v>
      </c>
      <c r="E148" s="35" t="s">
        <v>90</v>
      </c>
      <c r="F148" s="20" t="s">
        <v>355</v>
      </c>
      <c r="G148" s="20" t="s">
        <v>1253</v>
      </c>
      <c r="H148" s="20" t="s">
        <v>145</v>
      </c>
      <c r="I148" s="20" t="s">
        <v>146</v>
      </c>
      <c r="J148" s="20" t="s">
        <v>1230</v>
      </c>
      <c r="K148" s="20" t="s">
        <v>96</v>
      </c>
      <c r="L148" s="20" t="s">
        <v>97</v>
      </c>
      <c r="M148" s="20" t="s">
        <v>98</v>
      </c>
      <c r="N148" s="20" t="s">
        <v>147</v>
      </c>
      <c r="O148" s="20" t="s">
        <v>148</v>
      </c>
      <c r="P148" s="20" t="s">
        <v>149</v>
      </c>
      <c r="Q148" s="20" t="s">
        <v>150</v>
      </c>
      <c r="R148" s="20" t="s">
        <v>151</v>
      </c>
      <c r="S148" s="20" t="s">
        <v>152</v>
      </c>
      <c r="T148" s="20" t="s">
        <v>153</v>
      </c>
      <c r="U148" s="20" t="s">
        <v>154</v>
      </c>
      <c r="V148" s="21" t="s">
        <v>292</v>
      </c>
      <c r="W148" s="21" t="s">
        <v>108</v>
      </c>
      <c r="X148" s="21" t="s">
        <v>572</v>
      </c>
      <c r="Y148" s="21" t="s">
        <v>1254</v>
      </c>
      <c r="Z148" s="21" t="s">
        <v>256</v>
      </c>
      <c r="AA148" s="21" t="s">
        <v>191</v>
      </c>
      <c r="AB148" s="21" t="s">
        <v>1255</v>
      </c>
      <c r="AC148" s="21" t="s">
        <v>1256</v>
      </c>
      <c r="AD148" s="38"/>
      <c r="AE148" s="23" t="s">
        <v>115</v>
      </c>
      <c r="AF148" s="38"/>
      <c r="AG148" s="23" t="s">
        <v>116</v>
      </c>
      <c r="AH148" s="38"/>
      <c r="AI148" s="25" t="s">
        <v>117</v>
      </c>
      <c r="AJ148" s="38"/>
      <c r="AK148" s="25" t="s">
        <v>117</v>
      </c>
      <c r="AL148" s="22">
        <v>0</v>
      </c>
      <c r="AM148" s="23" t="s">
        <v>115</v>
      </c>
      <c r="AN148" s="38"/>
      <c r="AO148" s="25" t="s">
        <v>117</v>
      </c>
      <c r="AP148" s="39" t="s">
        <v>118</v>
      </c>
      <c r="AQ148" s="23" t="s">
        <v>115</v>
      </c>
      <c r="AR148" s="40"/>
      <c r="AS148" s="23" t="s">
        <v>117</v>
      </c>
      <c r="AT148" s="39" t="s">
        <v>118</v>
      </c>
      <c r="AU148" s="23" t="s">
        <v>116</v>
      </c>
      <c r="AV148" s="39" t="s">
        <v>118</v>
      </c>
      <c r="AW148" s="23" t="s">
        <v>115</v>
      </c>
      <c r="AX148" s="39" t="s">
        <v>118</v>
      </c>
      <c r="AY148" s="23" t="s">
        <v>115</v>
      </c>
      <c r="AZ148" s="39" t="s">
        <v>118</v>
      </c>
      <c r="BA148" s="23" t="s">
        <v>115</v>
      </c>
      <c r="BB148" s="40"/>
      <c r="BC148" s="23" t="s">
        <v>115</v>
      </c>
      <c r="BD148" s="39" t="s">
        <v>118</v>
      </c>
      <c r="BE148" s="23" t="s">
        <v>115</v>
      </c>
      <c r="BF148" s="39" t="s">
        <v>118</v>
      </c>
      <c r="BG148" s="23" t="s">
        <v>115</v>
      </c>
      <c r="BH148" s="40"/>
      <c r="BI148" s="25" t="s">
        <v>117</v>
      </c>
      <c r="BJ148" s="40"/>
      <c r="BK148" s="25" t="s">
        <v>117</v>
      </c>
      <c r="BL148" s="40"/>
      <c r="BM148" s="25" t="s">
        <v>117</v>
      </c>
      <c r="BN148" s="40"/>
      <c r="BO148" s="25" t="s">
        <v>117</v>
      </c>
      <c r="BP148" s="40"/>
      <c r="BQ148" s="25" t="s">
        <v>117</v>
      </c>
      <c r="BR148" s="37">
        <v>15000</v>
      </c>
      <c r="BS148" s="25" t="s">
        <v>115</v>
      </c>
      <c r="BT148" s="40"/>
      <c r="BU148" s="25" t="s">
        <v>117</v>
      </c>
      <c r="BV148" s="40"/>
      <c r="BW148" s="25" t="s">
        <v>117</v>
      </c>
      <c r="BX148" s="40"/>
      <c r="BY148" s="25" t="s">
        <v>117</v>
      </c>
      <c r="BZ148" s="46"/>
      <c r="CA148" s="25" t="s">
        <v>117</v>
      </c>
      <c r="CB148" s="45" t="s">
        <v>159</v>
      </c>
      <c r="CC148" s="25" t="s">
        <v>116</v>
      </c>
      <c r="CD148" s="40"/>
      <c r="CE148" s="25" t="s">
        <v>117</v>
      </c>
      <c r="CF148" s="40"/>
      <c r="CG148" s="25" t="s">
        <v>117</v>
      </c>
      <c r="CH148" s="151">
        <v>5000</v>
      </c>
      <c r="CI148" s="25" t="s">
        <v>116</v>
      </c>
      <c r="CJ148" s="151">
        <v>2500</v>
      </c>
      <c r="CK148" s="48" t="s">
        <v>116</v>
      </c>
      <c r="CL148" s="46">
        <v>1500</v>
      </c>
      <c r="CM148" s="48" t="s">
        <v>116</v>
      </c>
      <c r="CN148" s="46">
        <v>1500</v>
      </c>
      <c r="CO148" s="25" t="s">
        <v>116</v>
      </c>
      <c r="CP148" s="30">
        <v>400</v>
      </c>
      <c r="CQ148" s="23" t="s">
        <v>115</v>
      </c>
      <c r="CR148" s="32"/>
      <c r="CS148" s="23" t="s">
        <v>117</v>
      </c>
      <c r="CT148" s="32"/>
      <c r="CU148" s="23" t="s">
        <v>117</v>
      </c>
      <c r="CV148" s="32"/>
      <c r="CW148" s="23" t="s">
        <v>117</v>
      </c>
      <c r="CX148" s="32"/>
      <c r="CY148" s="25" t="s">
        <v>117</v>
      </c>
      <c r="CZ148" s="32"/>
      <c r="DA148" s="25" t="s">
        <v>117</v>
      </c>
      <c r="DB148" s="33" t="s">
        <v>120</v>
      </c>
      <c r="DC148" s="25" t="s">
        <v>116</v>
      </c>
      <c r="DD148" s="34">
        <f t="shared" si="33"/>
        <v>1568</v>
      </c>
      <c r="DE148" t="s">
        <v>1257</v>
      </c>
      <c r="DF148" t="str">
        <f t="shared" si="34"/>
        <v>India#Fund#India LP</v>
      </c>
      <c r="DG148" t="b">
        <f t="shared" si="35"/>
        <v>1</v>
      </c>
    </row>
    <row r="149" spans="1:111" ht="78.75" customHeight="1" x14ac:dyDescent="0.35">
      <c r="A149" s="42" t="s">
        <v>1224</v>
      </c>
      <c r="B149" s="42" t="s">
        <v>1188</v>
      </c>
      <c r="C149" s="42" t="s">
        <v>141</v>
      </c>
      <c r="D149" s="43" t="s">
        <v>1258</v>
      </c>
      <c r="E149" s="42" t="s">
        <v>90</v>
      </c>
      <c r="F149" s="20" t="s">
        <v>1259</v>
      </c>
      <c r="G149" s="20" t="s">
        <v>1260</v>
      </c>
      <c r="H149" s="20" t="s">
        <v>145</v>
      </c>
      <c r="I149" s="20" t="s">
        <v>146</v>
      </c>
      <c r="J149" s="20" t="s">
        <v>1230</v>
      </c>
      <c r="K149" s="20" t="s">
        <v>96</v>
      </c>
      <c r="L149" s="20" t="s">
        <v>97</v>
      </c>
      <c r="M149" s="20" t="s">
        <v>98</v>
      </c>
      <c r="N149" s="20" t="s">
        <v>147</v>
      </c>
      <c r="O149" s="20" t="s">
        <v>148</v>
      </c>
      <c r="P149" s="20" t="s">
        <v>149</v>
      </c>
      <c r="Q149" s="20" t="s">
        <v>150</v>
      </c>
      <c r="R149" s="20" t="s">
        <v>151</v>
      </c>
      <c r="S149" s="20" t="s">
        <v>152</v>
      </c>
      <c r="T149" s="20" t="s">
        <v>153</v>
      </c>
      <c r="U149" s="20" t="s">
        <v>154</v>
      </c>
      <c r="V149" s="21" t="s">
        <v>267</v>
      </c>
      <c r="W149" s="21" t="s">
        <v>108</v>
      </c>
      <c r="X149" s="21" t="s">
        <v>109</v>
      </c>
      <c r="Y149" s="21" t="s">
        <v>1261</v>
      </c>
      <c r="Z149" s="21" t="s">
        <v>256</v>
      </c>
      <c r="AA149" s="21" t="s">
        <v>601</v>
      </c>
      <c r="AB149" s="21" t="s">
        <v>1262</v>
      </c>
      <c r="AC149" s="21" t="s">
        <v>1263</v>
      </c>
      <c r="AD149" s="44"/>
      <c r="AE149" s="23" t="s">
        <v>115</v>
      </c>
      <c r="AF149" s="44"/>
      <c r="AG149" s="23" t="s">
        <v>116</v>
      </c>
      <c r="AH149" s="44"/>
      <c r="AI149" s="25" t="s">
        <v>117</v>
      </c>
      <c r="AJ149" s="44"/>
      <c r="AK149" s="25" t="s">
        <v>117</v>
      </c>
      <c r="AL149" s="22">
        <v>0</v>
      </c>
      <c r="AM149" s="23" t="s">
        <v>115</v>
      </c>
      <c r="AN149" s="44"/>
      <c r="AO149" s="25" t="s">
        <v>117</v>
      </c>
      <c r="AP149" s="45" t="s">
        <v>118</v>
      </c>
      <c r="AQ149" s="23" t="s">
        <v>115</v>
      </c>
      <c r="AR149" s="46"/>
      <c r="AS149" s="23" t="s">
        <v>117</v>
      </c>
      <c r="AT149" s="45" t="s">
        <v>118</v>
      </c>
      <c r="AU149" s="23" t="s">
        <v>116</v>
      </c>
      <c r="AV149" s="45" t="s">
        <v>118</v>
      </c>
      <c r="AW149" s="23" t="s">
        <v>115</v>
      </c>
      <c r="AX149" s="45" t="s">
        <v>118</v>
      </c>
      <c r="AY149" s="23" t="s">
        <v>115</v>
      </c>
      <c r="AZ149" s="45" t="s">
        <v>118</v>
      </c>
      <c r="BA149" s="23" t="s">
        <v>115</v>
      </c>
      <c r="BB149" s="46"/>
      <c r="BC149" s="23" t="s">
        <v>115</v>
      </c>
      <c r="BD149" s="45" t="s">
        <v>118</v>
      </c>
      <c r="BE149" s="23" t="s">
        <v>115</v>
      </c>
      <c r="BF149" s="45" t="s">
        <v>118</v>
      </c>
      <c r="BG149" s="23" t="s">
        <v>115</v>
      </c>
      <c r="BH149" s="46"/>
      <c r="BI149" s="25" t="s">
        <v>117</v>
      </c>
      <c r="BJ149" s="46"/>
      <c r="BK149" s="25" t="s">
        <v>117</v>
      </c>
      <c r="BL149" s="46"/>
      <c r="BM149" s="25" t="s">
        <v>117</v>
      </c>
      <c r="BN149" s="46"/>
      <c r="BO149" s="25" t="s">
        <v>117</v>
      </c>
      <c r="BP149" s="46"/>
      <c r="BQ149" s="25" t="s">
        <v>117</v>
      </c>
      <c r="BR149" s="47">
        <v>12000</v>
      </c>
      <c r="BS149" s="25" t="s">
        <v>115</v>
      </c>
      <c r="BT149" s="46"/>
      <c r="BU149" s="25" t="s">
        <v>117</v>
      </c>
      <c r="BV149" s="46"/>
      <c r="BW149" s="25" t="s">
        <v>117</v>
      </c>
      <c r="BX149" s="46"/>
      <c r="BY149" s="25" t="s">
        <v>117</v>
      </c>
      <c r="BZ149" s="46"/>
      <c r="CA149" s="25" t="s">
        <v>117</v>
      </c>
      <c r="CB149" s="45" t="s">
        <v>159</v>
      </c>
      <c r="CC149" s="25" t="s">
        <v>116</v>
      </c>
      <c r="CD149" s="46"/>
      <c r="CE149" s="25" t="s">
        <v>117</v>
      </c>
      <c r="CF149" s="46"/>
      <c r="CG149" s="25" t="s">
        <v>117</v>
      </c>
      <c r="CH149" s="151">
        <v>5000</v>
      </c>
      <c r="CI149" s="25" t="s">
        <v>116</v>
      </c>
      <c r="CJ149" s="151">
        <v>2500</v>
      </c>
      <c r="CK149" s="48" t="s">
        <v>116</v>
      </c>
      <c r="CL149" s="46">
        <v>1500</v>
      </c>
      <c r="CM149" s="48" t="s">
        <v>116</v>
      </c>
      <c r="CN149" s="46">
        <v>1500</v>
      </c>
      <c r="CO149" s="25" t="s">
        <v>116</v>
      </c>
      <c r="CP149" s="30">
        <v>400</v>
      </c>
      <c r="CQ149" s="23" t="s">
        <v>115</v>
      </c>
      <c r="CR149" s="32"/>
      <c r="CS149" s="23" t="s">
        <v>117</v>
      </c>
      <c r="CT149" s="32"/>
      <c r="CU149" s="23" t="s">
        <v>117</v>
      </c>
      <c r="CV149" s="32"/>
      <c r="CW149" s="23" t="s">
        <v>117</v>
      </c>
      <c r="CX149" s="32"/>
      <c r="CY149" s="25" t="s">
        <v>117</v>
      </c>
      <c r="CZ149" s="32"/>
      <c r="DA149" s="25" t="s">
        <v>117</v>
      </c>
      <c r="DB149" s="33" t="s">
        <v>120</v>
      </c>
      <c r="DC149" s="25" t="s">
        <v>116</v>
      </c>
      <c r="DD149" s="34">
        <f t="shared" si="33"/>
        <v>1343</v>
      </c>
      <c r="DE149" t="s">
        <v>1264</v>
      </c>
      <c r="DF149" t="str">
        <f t="shared" si="34"/>
        <v>India#Fund#India Company</v>
      </c>
      <c r="DG149" t="b">
        <f t="shared" si="35"/>
        <v>1</v>
      </c>
    </row>
    <row r="150" spans="1:111" ht="78.75" customHeight="1" x14ac:dyDescent="0.35">
      <c r="A150" s="35" t="s">
        <v>1224</v>
      </c>
      <c r="B150" s="42" t="s">
        <v>1188</v>
      </c>
      <c r="C150" s="35" t="s">
        <v>141</v>
      </c>
      <c r="D150" s="36" t="s">
        <v>1265</v>
      </c>
      <c r="E150" s="35" t="s">
        <v>90</v>
      </c>
      <c r="F150" s="20" t="s">
        <v>326</v>
      </c>
      <c r="G150" s="20" t="s">
        <v>1266</v>
      </c>
      <c r="H150" s="20" t="s">
        <v>145</v>
      </c>
      <c r="I150" s="20" t="s">
        <v>146</v>
      </c>
      <c r="J150" s="20" t="s">
        <v>1230</v>
      </c>
      <c r="K150" s="20" t="s">
        <v>96</v>
      </c>
      <c r="L150" s="20" t="s">
        <v>97</v>
      </c>
      <c r="M150" s="20" t="s">
        <v>98</v>
      </c>
      <c r="N150" s="20" t="s">
        <v>147</v>
      </c>
      <c r="O150" s="20" t="s">
        <v>148</v>
      </c>
      <c r="P150" s="20" t="s">
        <v>149</v>
      </c>
      <c r="Q150" s="20" t="s">
        <v>150</v>
      </c>
      <c r="R150" s="20" t="s">
        <v>151</v>
      </c>
      <c r="S150" s="20" t="s">
        <v>152</v>
      </c>
      <c r="T150" s="20" t="s">
        <v>153</v>
      </c>
      <c r="U150" s="20" t="s">
        <v>154</v>
      </c>
      <c r="V150" s="21" t="s">
        <v>180</v>
      </c>
      <c r="W150" s="21" t="s">
        <v>108</v>
      </c>
      <c r="X150" s="21" t="s">
        <v>109</v>
      </c>
      <c r="Y150" s="21" t="s">
        <v>1267</v>
      </c>
      <c r="Z150" s="21" t="s">
        <v>256</v>
      </c>
      <c r="AA150" s="21" t="s">
        <v>112</v>
      </c>
      <c r="AB150" s="21" t="s">
        <v>1268</v>
      </c>
      <c r="AC150" s="21" t="s">
        <v>1269</v>
      </c>
      <c r="AD150" s="38"/>
      <c r="AE150" s="23" t="s">
        <v>115</v>
      </c>
      <c r="AF150" s="38"/>
      <c r="AG150" s="23" t="s">
        <v>116</v>
      </c>
      <c r="AH150" s="38"/>
      <c r="AI150" s="25" t="s">
        <v>117</v>
      </c>
      <c r="AJ150" s="38"/>
      <c r="AK150" s="25" t="s">
        <v>117</v>
      </c>
      <c r="AL150" s="22">
        <v>0</v>
      </c>
      <c r="AM150" s="23" t="s">
        <v>115</v>
      </c>
      <c r="AN150" s="38"/>
      <c r="AO150" s="25" t="s">
        <v>117</v>
      </c>
      <c r="AP150" s="39" t="s">
        <v>118</v>
      </c>
      <c r="AQ150" s="23" t="s">
        <v>115</v>
      </c>
      <c r="AR150" s="40"/>
      <c r="AS150" s="23" t="s">
        <v>117</v>
      </c>
      <c r="AT150" s="39" t="s">
        <v>118</v>
      </c>
      <c r="AU150" s="23" t="s">
        <v>116</v>
      </c>
      <c r="AV150" s="39" t="s">
        <v>118</v>
      </c>
      <c r="AW150" s="23" t="s">
        <v>115</v>
      </c>
      <c r="AX150" s="39" t="s">
        <v>118</v>
      </c>
      <c r="AY150" s="23" t="s">
        <v>115</v>
      </c>
      <c r="AZ150" s="39" t="s">
        <v>118</v>
      </c>
      <c r="BA150" s="23" t="s">
        <v>115</v>
      </c>
      <c r="BB150" s="40"/>
      <c r="BC150" s="23" t="s">
        <v>115</v>
      </c>
      <c r="BD150" s="39" t="s">
        <v>118</v>
      </c>
      <c r="BE150" s="23" t="s">
        <v>115</v>
      </c>
      <c r="BF150" s="39" t="s">
        <v>118</v>
      </c>
      <c r="BG150" s="23" t="s">
        <v>115</v>
      </c>
      <c r="BH150" s="40"/>
      <c r="BI150" s="25" t="s">
        <v>117</v>
      </c>
      <c r="BJ150" s="40"/>
      <c r="BK150" s="25" t="s">
        <v>117</v>
      </c>
      <c r="BL150" s="40"/>
      <c r="BM150" s="25" t="s">
        <v>117</v>
      </c>
      <c r="BN150" s="40"/>
      <c r="BO150" s="25" t="s">
        <v>117</v>
      </c>
      <c r="BP150" s="40"/>
      <c r="BQ150" s="25" t="s">
        <v>117</v>
      </c>
      <c r="BR150" s="37">
        <v>12000</v>
      </c>
      <c r="BS150" s="25" t="s">
        <v>115</v>
      </c>
      <c r="BT150" s="40"/>
      <c r="BU150" s="25" t="s">
        <v>117</v>
      </c>
      <c r="BV150" s="40"/>
      <c r="BW150" s="25" t="s">
        <v>117</v>
      </c>
      <c r="BX150" s="40"/>
      <c r="BY150" s="25" t="s">
        <v>117</v>
      </c>
      <c r="BZ150" s="46"/>
      <c r="CA150" s="25" t="s">
        <v>117</v>
      </c>
      <c r="CB150" s="45" t="s">
        <v>159</v>
      </c>
      <c r="CC150" s="25" t="s">
        <v>116</v>
      </c>
      <c r="CD150" s="40"/>
      <c r="CE150" s="25" t="s">
        <v>117</v>
      </c>
      <c r="CF150" s="40"/>
      <c r="CG150" s="25" t="s">
        <v>117</v>
      </c>
      <c r="CH150" s="151">
        <v>5000</v>
      </c>
      <c r="CI150" s="25" t="s">
        <v>116</v>
      </c>
      <c r="CJ150" s="151">
        <v>2500</v>
      </c>
      <c r="CK150" s="48" t="s">
        <v>116</v>
      </c>
      <c r="CL150" s="46">
        <v>1500</v>
      </c>
      <c r="CM150" s="48" t="s">
        <v>116</v>
      </c>
      <c r="CN150" s="46">
        <v>1500</v>
      </c>
      <c r="CO150" s="25" t="s">
        <v>116</v>
      </c>
      <c r="CP150" s="30">
        <v>400</v>
      </c>
      <c r="CQ150" s="23" t="s">
        <v>115</v>
      </c>
      <c r="CR150" s="32"/>
      <c r="CS150" s="23" t="s">
        <v>117</v>
      </c>
      <c r="CT150" s="32"/>
      <c r="CU150" s="23" t="s">
        <v>117</v>
      </c>
      <c r="CV150" s="32"/>
      <c r="CW150" s="23" t="s">
        <v>117</v>
      </c>
      <c r="CX150" s="32"/>
      <c r="CY150" s="25" t="s">
        <v>117</v>
      </c>
      <c r="CZ150" s="32"/>
      <c r="DA150" s="25" t="s">
        <v>117</v>
      </c>
      <c r="DB150" s="33" t="s">
        <v>120</v>
      </c>
      <c r="DC150" s="25" t="s">
        <v>116</v>
      </c>
      <c r="DD150" s="34">
        <f t="shared" si="33"/>
        <v>1343</v>
      </c>
      <c r="DE150" t="s">
        <v>1270</v>
      </c>
      <c r="DF150" t="str">
        <f t="shared" si="34"/>
        <v>India#Fund#India SPC</v>
      </c>
      <c r="DG150" t="b">
        <f t="shared" si="35"/>
        <v>1</v>
      </c>
    </row>
    <row r="151" spans="1:111" ht="78.75" customHeight="1" x14ac:dyDescent="0.35">
      <c r="A151" s="18" t="s">
        <v>1224</v>
      </c>
      <c r="B151" s="42" t="s">
        <v>1188</v>
      </c>
      <c r="C151" s="18" t="s">
        <v>141</v>
      </c>
      <c r="D151" s="19" t="s">
        <v>1237</v>
      </c>
      <c r="E151" s="18" t="s">
        <v>1227</v>
      </c>
      <c r="F151" s="20" t="s">
        <v>124</v>
      </c>
      <c r="G151" s="20" t="s">
        <v>1271</v>
      </c>
      <c r="H151" s="20" t="s">
        <v>145</v>
      </c>
      <c r="I151" s="20" t="s">
        <v>146</v>
      </c>
      <c r="J151" s="20" t="s">
        <v>1230</v>
      </c>
      <c r="K151" s="20" t="s">
        <v>96</v>
      </c>
      <c r="L151" s="20" t="s">
        <v>97</v>
      </c>
      <c r="M151" s="20" t="s">
        <v>98</v>
      </c>
      <c r="N151" s="20" t="s">
        <v>147</v>
      </c>
      <c r="O151" s="20" t="s">
        <v>148</v>
      </c>
      <c r="P151" s="20" t="s">
        <v>149</v>
      </c>
      <c r="Q151" s="20" t="s">
        <v>150</v>
      </c>
      <c r="R151" s="20" t="s">
        <v>151</v>
      </c>
      <c r="S151" s="20" t="s">
        <v>152</v>
      </c>
      <c r="T151" s="20" t="s">
        <v>153</v>
      </c>
      <c r="U151" s="20" t="s">
        <v>154</v>
      </c>
      <c r="V151" s="21" t="s">
        <v>292</v>
      </c>
      <c r="W151" s="21" t="s">
        <v>108</v>
      </c>
      <c r="X151" s="21" t="s">
        <v>109</v>
      </c>
      <c r="Y151" s="21" t="s">
        <v>1272</v>
      </c>
      <c r="Z151" s="21" t="s">
        <v>256</v>
      </c>
      <c r="AA151" s="21" t="s">
        <v>1086</v>
      </c>
      <c r="AB151" s="21" t="s">
        <v>1273</v>
      </c>
      <c r="AC151" s="21" t="s">
        <v>1274</v>
      </c>
      <c r="AD151" s="39" t="s">
        <v>1275</v>
      </c>
      <c r="AE151" s="23" t="s">
        <v>115</v>
      </c>
      <c r="AF151" s="28"/>
      <c r="AG151" s="23" t="s">
        <v>116</v>
      </c>
      <c r="AH151" s="28"/>
      <c r="AI151" s="25" t="s">
        <v>117</v>
      </c>
      <c r="AJ151" s="28"/>
      <c r="AK151" s="25" t="s">
        <v>117</v>
      </c>
      <c r="AL151" s="22">
        <v>0</v>
      </c>
      <c r="AM151" s="23" t="s">
        <v>115</v>
      </c>
      <c r="AN151" s="28"/>
      <c r="AO151" s="25" t="s">
        <v>117</v>
      </c>
      <c r="AP151" s="27" t="s">
        <v>118</v>
      </c>
      <c r="AQ151" s="23" t="s">
        <v>115</v>
      </c>
      <c r="AR151" s="28"/>
      <c r="AS151" s="23" t="s">
        <v>117</v>
      </c>
      <c r="AT151" s="27" t="s">
        <v>118</v>
      </c>
      <c r="AU151" s="23" t="s">
        <v>116</v>
      </c>
      <c r="AV151" s="27" t="s">
        <v>118</v>
      </c>
      <c r="AW151" s="23" t="s">
        <v>115</v>
      </c>
      <c r="AX151" s="27" t="s">
        <v>118</v>
      </c>
      <c r="AY151" s="23" t="s">
        <v>115</v>
      </c>
      <c r="AZ151" s="27" t="s">
        <v>118</v>
      </c>
      <c r="BA151" s="23" t="s">
        <v>115</v>
      </c>
      <c r="BB151" s="28"/>
      <c r="BC151" s="23" t="s">
        <v>115</v>
      </c>
      <c r="BD151" s="27" t="s">
        <v>118</v>
      </c>
      <c r="BE151" s="23" t="s">
        <v>115</v>
      </c>
      <c r="BF151" s="27" t="s">
        <v>118</v>
      </c>
      <c r="BG151" s="23" t="s">
        <v>115</v>
      </c>
      <c r="BH151" s="28"/>
      <c r="BI151" s="25" t="s">
        <v>117</v>
      </c>
      <c r="BJ151" s="28"/>
      <c r="BK151" s="25" t="s">
        <v>117</v>
      </c>
      <c r="BL151" s="28"/>
      <c r="BM151" s="25" t="s">
        <v>117</v>
      </c>
      <c r="BN151" s="28"/>
      <c r="BO151" s="25" t="s">
        <v>117</v>
      </c>
      <c r="BP151" s="28"/>
      <c r="BQ151" s="25" t="s">
        <v>117</v>
      </c>
      <c r="BR151" s="28"/>
      <c r="BS151" s="25" t="s">
        <v>117</v>
      </c>
      <c r="BT151" s="28"/>
      <c r="BU151" s="25" t="s">
        <v>117</v>
      </c>
      <c r="BV151" s="28"/>
      <c r="BW151" s="25" t="s">
        <v>117</v>
      </c>
      <c r="BX151" s="28"/>
      <c r="BY151" s="25" t="s">
        <v>117</v>
      </c>
      <c r="BZ151" s="46"/>
      <c r="CA151" s="25" t="s">
        <v>117</v>
      </c>
      <c r="CB151" s="45" t="s">
        <v>159</v>
      </c>
      <c r="CC151" s="25" t="s">
        <v>116</v>
      </c>
      <c r="CD151" s="28"/>
      <c r="CE151" s="25" t="s">
        <v>117</v>
      </c>
      <c r="CF151" s="28"/>
      <c r="CG151" s="25" t="s">
        <v>117</v>
      </c>
      <c r="CH151" s="151">
        <v>5000</v>
      </c>
      <c r="CI151" s="25" t="s">
        <v>116</v>
      </c>
      <c r="CJ151" s="151">
        <v>2500</v>
      </c>
      <c r="CK151" s="48" t="s">
        <v>116</v>
      </c>
      <c r="CL151" s="46">
        <v>1500</v>
      </c>
      <c r="CM151" s="48" t="s">
        <v>116</v>
      </c>
      <c r="CN151" s="46">
        <v>1500</v>
      </c>
      <c r="CO151" s="25" t="s">
        <v>116</v>
      </c>
      <c r="CP151" s="30">
        <v>400</v>
      </c>
      <c r="CQ151" s="23" t="s">
        <v>115</v>
      </c>
      <c r="CR151" s="32"/>
      <c r="CS151" s="23" t="s">
        <v>117</v>
      </c>
      <c r="CT151" s="32"/>
      <c r="CU151" s="23" t="s">
        <v>117</v>
      </c>
      <c r="CV151" s="32"/>
      <c r="CW151" s="23" t="s">
        <v>117</v>
      </c>
      <c r="CX151" s="32"/>
      <c r="CY151" s="25" t="s">
        <v>117</v>
      </c>
      <c r="CZ151" s="32"/>
      <c r="DA151" s="25" t="s">
        <v>117</v>
      </c>
      <c r="DB151" s="33" t="s">
        <v>120</v>
      </c>
      <c r="DC151" s="25" t="s">
        <v>116</v>
      </c>
      <c r="DD151" s="34">
        <f t="shared" si="33"/>
        <v>443</v>
      </c>
      <c r="DE151" t="s">
        <v>1276</v>
      </c>
      <c r="DF151" t="str">
        <f t="shared" si="34"/>
        <v>India#Fund#India Trust</v>
      </c>
      <c r="DG151" t="b">
        <f t="shared" si="35"/>
        <v>1</v>
      </c>
    </row>
    <row r="152" spans="1:111" ht="78.75" customHeight="1" x14ac:dyDescent="0.35">
      <c r="A152" s="18" t="s">
        <v>1224</v>
      </c>
      <c r="B152" s="18"/>
      <c r="C152" s="18" t="s">
        <v>141</v>
      </c>
      <c r="D152" s="19" t="s">
        <v>1277</v>
      </c>
      <c r="E152" s="18" t="s">
        <v>90</v>
      </c>
      <c r="F152" s="20" t="s">
        <v>1278</v>
      </c>
      <c r="G152" s="20" t="s">
        <v>1279</v>
      </c>
      <c r="H152" s="20" t="s">
        <v>1280</v>
      </c>
      <c r="I152" s="20" t="s">
        <v>1281</v>
      </c>
      <c r="J152" s="20" t="s">
        <v>1230</v>
      </c>
      <c r="K152" s="20" t="s">
        <v>96</v>
      </c>
      <c r="L152" s="20" t="s">
        <v>97</v>
      </c>
      <c r="M152" s="20" t="s">
        <v>98</v>
      </c>
      <c r="N152" s="20" t="s">
        <v>1282</v>
      </c>
      <c r="O152" s="20" t="s">
        <v>1283</v>
      </c>
      <c r="P152" s="20" t="s">
        <v>1284</v>
      </c>
      <c r="Q152" s="20" t="s">
        <v>1285</v>
      </c>
      <c r="R152" s="20" t="s">
        <v>1286</v>
      </c>
      <c r="S152" s="20" t="s">
        <v>1287</v>
      </c>
      <c r="T152" s="20" t="s">
        <v>1288</v>
      </c>
      <c r="U152" s="20" t="s">
        <v>1289</v>
      </c>
      <c r="V152" s="21" t="s">
        <v>1290</v>
      </c>
      <c r="W152" s="21" t="s">
        <v>1291</v>
      </c>
      <c r="X152" s="21" t="s">
        <v>1292</v>
      </c>
      <c r="Y152" s="21" t="s">
        <v>1293</v>
      </c>
      <c r="Z152" s="21" t="s">
        <v>1294</v>
      </c>
      <c r="AA152" s="21" t="s">
        <v>1295</v>
      </c>
      <c r="AB152" s="21" t="s">
        <v>1296</v>
      </c>
      <c r="AC152" s="21" t="s">
        <v>1297</v>
      </c>
      <c r="AD152" s="22"/>
      <c r="AE152" s="23" t="s">
        <v>117</v>
      </c>
      <c r="AF152" s="24"/>
      <c r="AG152" s="23" t="s">
        <v>117</v>
      </c>
      <c r="AH152" s="24"/>
      <c r="AI152" s="25" t="s">
        <v>117</v>
      </c>
      <c r="AJ152" s="24"/>
      <c r="AK152" s="25" t="s">
        <v>117</v>
      </c>
      <c r="AL152" s="22"/>
      <c r="AM152" s="23" t="s">
        <v>117</v>
      </c>
      <c r="AN152" s="24"/>
      <c r="AO152" s="25" t="s">
        <v>117</v>
      </c>
      <c r="AP152" s="26"/>
      <c r="AQ152" s="23" t="s">
        <v>117</v>
      </c>
      <c r="AR152" s="24"/>
      <c r="AS152" s="23" t="s">
        <v>117</v>
      </c>
      <c r="AT152" s="27"/>
      <c r="AU152" s="23" t="s">
        <v>117</v>
      </c>
      <c r="AV152" s="22"/>
      <c r="AW152" s="23" t="s">
        <v>117</v>
      </c>
      <c r="AX152" s="22"/>
      <c r="AY152" s="23" t="s">
        <v>117</v>
      </c>
      <c r="AZ152" s="26"/>
      <c r="BA152" s="23" t="s">
        <v>117</v>
      </c>
      <c r="BB152" s="24"/>
      <c r="BC152" s="23" t="s">
        <v>117</v>
      </c>
      <c r="BD152" s="27"/>
      <c r="BE152" s="23" t="s">
        <v>117</v>
      </c>
      <c r="BF152" s="27"/>
      <c r="BG152" s="23" t="s">
        <v>117</v>
      </c>
      <c r="BH152" s="28"/>
      <c r="BI152" s="25" t="s">
        <v>117</v>
      </c>
      <c r="BJ152" s="28"/>
      <c r="BK152" s="25" t="s">
        <v>117</v>
      </c>
      <c r="BL152" s="28"/>
      <c r="BM152" s="25" t="s">
        <v>117</v>
      </c>
      <c r="BN152" s="28"/>
      <c r="BO152" s="25" t="s">
        <v>117</v>
      </c>
      <c r="BP152" s="28"/>
      <c r="BQ152" s="25" t="s">
        <v>117</v>
      </c>
      <c r="BR152" s="28"/>
      <c r="BS152" s="25" t="s">
        <v>117</v>
      </c>
      <c r="BT152" s="28"/>
      <c r="BU152" s="25" t="s">
        <v>117</v>
      </c>
      <c r="BV152" s="28"/>
      <c r="BW152" s="25" t="s">
        <v>117</v>
      </c>
      <c r="BX152" s="28"/>
      <c r="BY152" s="25" t="s">
        <v>117</v>
      </c>
      <c r="BZ152" s="28"/>
      <c r="CA152" s="25" t="s">
        <v>117</v>
      </c>
      <c r="CB152" s="28"/>
      <c r="CC152" s="25" t="s">
        <v>117</v>
      </c>
      <c r="CD152" s="28"/>
      <c r="CE152" s="25" t="s">
        <v>117</v>
      </c>
      <c r="CF152" s="28"/>
      <c r="CG152" s="25" t="s">
        <v>117</v>
      </c>
      <c r="CH152" s="151">
        <v>5000</v>
      </c>
      <c r="CI152" s="25" t="s">
        <v>116</v>
      </c>
      <c r="CJ152" s="151">
        <v>2500</v>
      </c>
      <c r="CK152" s="48" t="s">
        <v>116</v>
      </c>
      <c r="CL152" s="46">
        <v>1500</v>
      </c>
      <c r="CM152" s="48" t="s">
        <v>116</v>
      </c>
      <c r="CN152" s="46">
        <v>1500</v>
      </c>
      <c r="CO152" s="25" t="s">
        <v>116</v>
      </c>
      <c r="CP152" s="30"/>
      <c r="CQ152" s="23" t="s">
        <v>117</v>
      </c>
      <c r="CR152" s="30"/>
      <c r="CS152" s="23" t="s">
        <v>117</v>
      </c>
      <c r="CT152" s="30"/>
      <c r="CU152" s="23" t="s">
        <v>117</v>
      </c>
      <c r="CV152" s="31"/>
      <c r="CW152" s="23" t="s">
        <v>117</v>
      </c>
      <c r="CX152" s="32"/>
      <c r="CY152" s="25" t="s">
        <v>117</v>
      </c>
      <c r="CZ152" s="32"/>
      <c r="DA152" s="25" t="s">
        <v>117</v>
      </c>
      <c r="DB152" s="33"/>
      <c r="DC152" s="25" t="s">
        <v>117</v>
      </c>
      <c r="DD152" s="34">
        <f t="shared" si="33"/>
        <v>413</v>
      </c>
      <c r="DE152" t="s">
        <v>1298</v>
      </c>
      <c r="DF152" t="str">
        <f t="shared" si="34"/>
        <v>India#Fund#India GIFT City AIF</v>
      </c>
      <c r="DG152" t="b">
        <f t="shared" si="35"/>
        <v>1</v>
      </c>
    </row>
    <row r="153" spans="1:111" ht="78.75" hidden="1" customHeight="1" x14ac:dyDescent="0.35">
      <c r="A153" s="18" t="s">
        <v>1224</v>
      </c>
      <c r="B153" s="18"/>
      <c r="C153" s="18" t="s">
        <v>88</v>
      </c>
      <c r="D153" s="19" t="s">
        <v>1299</v>
      </c>
      <c r="E153" s="18" t="s">
        <v>90</v>
      </c>
      <c r="F153" s="20" t="s">
        <v>1300</v>
      </c>
      <c r="G153" s="20" t="s">
        <v>1301</v>
      </c>
      <c r="H153" s="20" t="s">
        <v>1302</v>
      </c>
      <c r="I153" s="20" t="s">
        <v>1303</v>
      </c>
      <c r="J153" s="20" t="s">
        <v>1230</v>
      </c>
      <c r="K153" s="20" t="s">
        <v>96</v>
      </c>
      <c r="L153" s="20" t="s">
        <v>97</v>
      </c>
      <c r="M153" s="20" t="s">
        <v>98</v>
      </c>
      <c r="N153" s="20" t="s">
        <v>1304</v>
      </c>
      <c r="O153" s="20" t="s">
        <v>1305</v>
      </c>
      <c r="P153" s="20" t="s">
        <v>1306</v>
      </c>
      <c r="Q153" s="20" t="s">
        <v>1307</v>
      </c>
      <c r="R153" s="20" t="s">
        <v>1308</v>
      </c>
      <c r="S153" s="20" t="s">
        <v>1309</v>
      </c>
      <c r="T153" s="20" t="s">
        <v>1310</v>
      </c>
      <c r="U153" s="20" t="s">
        <v>1311</v>
      </c>
      <c r="V153" s="21" t="s">
        <v>1312</v>
      </c>
      <c r="W153" s="21" t="s">
        <v>1291</v>
      </c>
      <c r="X153" s="21" t="s">
        <v>1313</v>
      </c>
      <c r="Y153" s="21" t="s">
        <v>1314</v>
      </c>
      <c r="Z153" s="21" t="s">
        <v>256</v>
      </c>
      <c r="AA153" s="21" t="s">
        <v>601</v>
      </c>
      <c r="AB153" s="21" t="s">
        <v>1315</v>
      </c>
      <c r="AC153" s="21" t="s">
        <v>1316</v>
      </c>
      <c r="AD153" s="22">
        <v>4000</v>
      </c>
      <c r="AE153" s="23" t="s">
        <v>116</v>
      </c>
      <c r="AF153" s="24"/>
      <c r="AG153" s="23" t="s">
        <v>117</v>
      </c>
      <c r="AH153" s="24"/>
      <c r="AI153" s="25" t="s">
        <v>117</v>
      </c>
      <c r="AJ153" s="24"/>
      <c r="AK153" s="25" t="s">
        <v>117</v>
      </c>
      <c r="AL153" s="22"/>
      <c r="AM153" s="23" t="s">
        <v>117</v>
      </c>
      <c r="AN153" s="24">
        <v>500</v>
      </c>
      <c r="AO153" s="25" t="s">
        <v>116</v>
      </c>
      <c r="AP153" s="26">
        <v>7000</v>
      </c>
      <c r="AQ153" s="23" t="s">
        <v>116</v>
      </c>
      <c r="AR153" s="24"/>
      <c r="AS153" s="23" t="s">
        <v>117</v>
      </c>
      <c r="AT153" s="27"/>
      <c r="AU153" s="23" t="s">
        <v>117</v>
      </c>
      <c r="AV153" s="22">
        <v>4000</v>
      </c>
      <c r="AW153" s="23" t="s">
        <v>116</v>
      </c>
      <c r="AX153" s="22">
        <v>5000</v>
      </c>
      <c r="AY153" s="23" t="s">
        <v>116</v>
      </c>
      <c r="AZ153" s="26" t="s">
        <v>1317</v>
      </c>
      <c r="BA153" s="23" t="s">
        <v>116</v>
      </c>
      <c r="BB153" s="24"/>
      <c r="BC153" s="23" t="s">
        <v>117</v>
      </c>
      <c r="BD153" s="27"/>
      <c r="BE153" s="23" t="s">
        <v>117</v>
      </c>
      <c r="BF153" s="27"/>
      <c r="BG153" s="23" t="s">
        <v>117</v>
      </c>
      <c r="BH153" s="28"/>
      <c r="BI153" s="25" t="s">
        <v>117</v>
      </c>
      <c r="BJ153" s="28"/>
      <c r="BK153" s="25" t="s">
        <v>117</v>
      </c>
      <c r="BL153" s="28"/>
      <c r="BM153" s="25" t="s">
        <v>117</v>
      </c>
      <c r="BN153" s="28"/>
      <c r="BO153" s="25" t="s">
        <v>117</v>
      </c>
      <c r="BP153" s="28"/>
      <c r="BQ153" s="25" t="s">
        <v>117</v>
      </c>
      <c r="BR153" s="28"/>
      <c r="BS153" s="25" t="s">
        <v>117</v>
      </c>
      <c r="BT153" s="28"/>
      <c r="BU153" s="25" t="s">
        <v>117</v>
      </c>
      <c r="BV153" s="28"/>
      <c r="BW153" s="25" t="s">
        <v>117</v>
      </c>
      <c r="BX153" s="28"/>
      <c r="BY153" s="25" t="s">
        <v>117</v>
      </c>
      <c r="BZ153" s="28"/>
      <c r="CA153" s="25" t="s">
        <v>117</v>
      </c>
      <c r="CB153" s="28"/>
      <c r="CC153" s="25" t="s">
        <v>117</v>
      </c>
      <c r="CD153" s="28"/>
      <c r="CE153" s="25" t="s">
        <v>117</v>
      </c>
      <c r="CF153" s="28"/>
      <c r="CG153" s="25" t="s">
        <v>117</v>
      </c>
      <c r="CH153" s="28"/>
      <c r="CI153" s="25"/>
      <c r="CJ153" s="28"/>
      <c r="CK153" s="29" t="s">
        <v>117</v>
      </c>
      <c r="CL153" s="28"/>
      <c r="CM153" s="29" t="s">
        <v>117</v>
      </c>
      <c r="CN153" s="28"/>
      <c r="CO153" s="25" t="s">
        <v>117</v>
      </c>
      <c r="CP153" s="30"/>
      <c r="CQ153" s="23" t="s">
        <v>117</v>
      </c>
      <c r="CR153" s="30"/>
      <c r="CS153" s="23" t="s">
        <v>117</v>
      </c>
      <c r="CT153" s="30"/>
      <c r="CU153" s="23" t="s">
        <v>117</v>
      </c>
      <c r="CV153" s="31"/>
      <c r="CW153" s="23" t="s">
        <v>117</v>
      </c>
      <c r="CX153" s="32"/>
      <c r="CY153" s="25" t="s">
        <v>117</v>
      </c>
      <c r="CZ153" s="32"/>
      <c r="DA153" s="25" t="s">
        <v>117</v>
      </c>
      <c r="DB153" s="33"/>
      <c r="DC153" s="25" t="s">
        <v>117</v>
      </c>
      <c r="DD153" s="34">
        <f t="shared" si="33"/>
        <v>1538</v>
      </c>
      <c r="DE153" t="s">
        <v>1318</v>
      </c>
      <c r="DF153" t="str">
        <f t="shared" si="34"/>
        <v>India#Company#India GIFT City PLC (FME)</v>
      </c>
      <c r="DG153" t="b">
        <f t="shared" si="35"/>
        <v>1</v>
      </c>
    </row>
    <row r="154" spans="1:111" ht="15" customHeight="1" x14ac:dyDescent="0.35">
      <c r="A154" s="18" t="s">
        <v>1224</v>
      </c>
      <c r="B154" s="18"/>
      <c r="C154" s="18" t="s">
        <v>141</v>
      </c>
      <c r="D154" s="19" t="s">
        <v>1319</v>
      </c>
      <c r="E154" s="18" t="s">
        <v>1227</v>
      </c>
      <c r="F154" s="20" t="s">
        <v>1320</v>
      </c>
      <c r="G154" s="20" t="s">
        <v>1321</v>
      </c>
      <c r="H154" s="20" t="s">
        <v>1322</v>
      </c>
      <c r="I154" s="20" t="s">
        <v>1323</v>
      </c>
      <c r="J154" s="20" t="s">
        <v>1230</v>
      </c>
      <c r="K154" s="20" t="s">
        <v>96</v>
      </c>
      <c r="L154" s="20" t="s">
        <v>97</v>
      </c>
      <c r="M154" s="20" t="s">
        <v>98</v>
      </c>
      <c r="N154" s="20" t="s">
        <v>1324</v>
      </c>
      <c r="O154" s="20" t="s">
        <v>1325</v>
      </c>
      <c r="P154" s="20" t="s">
        <v>1326</v>
      </c>
      <c r="Q154" s="20" t="s">
        <v>1327</v>
      </c>
      <c r="R154" s="20" t="s">
        <v>1328</v>
      </c>
      <c r="S154" s="20" t="s">
        <v>1329</v>
      </c>
      <c r="T154" s="20" t="s">
        <v>1330</v>
      </c>
      <c r="U154" s="20" t="s">
        <v>1331</v>
      </c>
      <c r="V154" s="21" t="s">
        <v>1290</v>
      </c>
      <c r="W154" s="21" t="s">
        <v>108</v>
      </c>
      <c r="X154" s="21" t="s">
        <v>1332</v>
      </c>
      <c r="Y154" s="21" t="s">
        <v>1333</v>
      </c>
      <c r="Z154" s="21" t="s">
        <v>1294</v>
      </c>
      <c r="AA154" s="21" t="s">
        <v>1334</v>
      </c>
      <c r="AB154" s="21" t="s">
        <v>1335</v>
      </c>
      <c r="AC154" s="21" t="s">
        <v>1336</v>
      </c>
      <c r="AD154" s="22">
        <v>125000</v>
      </c>
      <c r="AE154" s="23" t="s">
        <v>116</v>
      </c>
      <c r="AF154" s="24"/>
      <c r="AG154" s="23" t="s">
        <v>117</v>
      </c>
      <c r="AH154" s="24"/>
      <c r="AI154" s="25" t="s">
        <v>117</v>
      </c>
      <c r="AJ154" s="24"/>
      <c r="AK154" s="25" t="s">
        <v>117</v>
      </c>
      <c r="AL154" s="22"/>
      <c r="AM154" s="23" t="s">
        <v>117</v>
      </c>
      <c r="AN154" s="24"/>
      <c r="AO154" s="25" t="s">
        <v>117</v>
      </c>
      <c r="AP154" s="26"/>
      <c r="AQ154" s="23" t="s">
        <v>117</v>
      </c>
      <c r="AR154" s="24">
        <v>125000</v>
      </c>
      <c r="AS154" s="23" t="s">
        <v>116</v>
      </c>
      <c r="AT154" s="27"/>
      <c r="AU154" s="23" t="s">
        <v>117</v>
      </c>
      <c r="AV154" s="22"/>
      <c r="AW154" s="23" t="s">
        <v>117</v>
      </c>
      <c r="AX154" s="22"/>
      <c r="AY154" s="23" t="s">
        <v>117</v>
      </c>
      <c r="AZ154" s="26"/>
      <c r="BA154" s="23" t="s">
        <v>117</v>
      </c>
      <c r="BB154" s="24"/>
      <c r="BC154" s="23" t="s">
        <v>117</v>
      </c>
      <c r="BD154" s="27"/>
      <c r="BE154" s="23" t="s">
        <v>117</v>
      </c>
      <c r="BF154" s="27"/>
      <c r="BG154" s="23" t="s">
        <v>117</v>
      </c>
      <c r="BH154" s="28"/>
      <c r="BI154" s="25" t="s">
        <v>117</v>
      </c>
      <c r="BJ154" s="28"/>
      <c r="BK154" s="25" t="s">
        <v>117</v>
      </c>
      <c r="BL154" s="28"/>
      <c r="BM154" s="25" t="s">
        <v>117</v>
      </c>
      <c r="BN154" s="28"/>
      <c r="BO154" s="25" t="s">
        <v>117</v>
      </c>
      <c r="BP154" s="28"/>
      <c r="BQ154" s="25" t="s">
        <v>117</v>
      </c>
      <c r="BR154" s="28"/>
      <c r="BS154" s="25" t="s">
        <v>117</v>
      </c>
      <c r="BT154" s="28"/>
      <c r="BU154" s="25" t="s">
        <v>117</v>
      </c>
      <c r="BV154" s="28"/>
      <c r="BW154" s="25" t="s">
        <v>117</v>
      </c>
      <c r="BX154" s="28"/>
      <c r="BY154" s="25" t="s">
        <v>117</v>
      </c>
      <c r="BZ154" s="28"/>
      <c r="CA154" s="25" t="s">
        <v>117</v>
      </c>
      <c r="CB154" s="28"/>
      <c r="CC154" s="25" t="s">
        <v>117</v>
      </c>
      <c r="CD154" s="28"/>
      <c r="CE154" s="25" t="s">
        <v>117</v>
      </c>
      <c r="CF154" s="28"/>
      <c r="CG154" s="25" t="s">
        <v>117</v>
      </c>
      <c r="CH154" s="151">
        <v>5000</v>
      </c>
      <c r="CI154" s="25" t="s">
        <v>116</v>
      </c>
      <c r="CJ154" s="151">
        <v>2500</v>
      </c>
      <c r="CK154" s="48" t="s">
        <v>116</v>
      </c>
      <c r="CL154" s="46">
        <v>1500</v>
      </c>
      <c r="CM154" s="48" t="s">
        <v>116</v>
      </c>
      <c r="CN154" s="46">
        <v>1500</v>
      </c>
      <c r="CO154" s="25" t="s">
        <v>116</v>
      </c>
      <c r="CP154" s="30"/>
      <c r="CQ154" s="23" t="s">
        <v>117</v>
      </c>
      <c r="CR154" s="30"/>
      <c r="CS154" s="23" t="s">
        <v>117</v>
      </c>
      <c r="CT154" s="30"/>
      <c r="CU154" s="23" t="s">
        <v>117</v>
      </c>
      <c r="CV154" s="31"/>
      <c r="CW154" s="23" t="s">
        <v>117</v>
      </c>
      <c r="CX154" s="32"/>
      <c r="CY154" s="25" t="s">
        <v>117</v>
      </c>
      <c r="CZ154" s="32"/>
      <c r="DA154" s="25" t="s">
        <v>117</v>
      </c>
      <c r="DB154" s="33"/>
      <c r="DC154" s="25" t="s">
        <v>117</v>
      </c>
      <c r="DD154" s="34">
        <f t="shared" si="33"/>
        <v>19163</v>
      </c>
      <c r="DE154" t="s">
        <v>1337</v>
      </c>
      <c r="DF154" t="str">
        <f t="shared" si="34"/>
        <v>India#Fund#India AIF</v>
      </c>
      <c r="DG154" t="b">
        <f t="shared" si="35"/>
        <v>1</v>
      </c>
    </row>
    <row r="155" spans="1:111" ht="78.75" hidden="1" customHeight="1" x14ac:dyDescent="0.35">
      <c r="A155" s="18" t="s">
        <v>1224</v>
      </c>
      <c r="B155" s="18"/>
      <c r="C155" s="18" t="s">
        <v>88</v>
      </c>
      <c r="D155" s="19" t="s">
        <v>1338</v>
      </c>
      <c r="E155" s="18" t="s">
        <v>1227</v>
      </c>
      <c r="F155" s="20" t="s">
        <v>1339</v>
      </c>
      <c r="G155" s="20" t="s">
        <v>1340</v>
      </c>
      <c r="H155" s="20" t="s">
        <v>1341</v>
      </c>
      <c r="I155" s="20" t="s">
        <v>1342</v>
      </c>
      <c r="J155" s="20" t="s">
        <v>1230</v>
      </c>
      <c r="K155" s="20" t="s">
        <v>96</v>
      </c>
      <c r="L155" s="20" t="s">
        <v>97</v>
      </c>
      <c r="M155" s="20" t="s">
        <v>98</v>
      </c>
      <c r="N155" s="20" t="s">
        <v>1343</v>
      </c>
      <c r="O155" s="20" t="s">
        <v>1344</v>
      </c>
      <c r="P155" s="20" t="s">
        <v>1345</v>
      </c>
      <c r="Q155" s="20" t="s">
        <v>1346</v>
      </c>
      <c r="R155" s="20" t="s">
        <v>1347</v>
      </c>
      <c r="S155" s="20" t="s">
        <v>1348</v>
      </c>
      <c r="T155" s="20" t="s">
        <v>1349</v>
      </c>
      <c r="U155" s="20" t="s">
        <v>1350</v>
      </c>
      <c r="V155" s="21" t="s">
        <v>1351</v>
      </c>
      <c r="W155" s="21" t="s">
        <v>108</v>
      </c>
      <c r="X155" s="21" t="s">
        <v>1352</v>
      </c>
      <c r="Y155" s="21" t="s">
        <v>1353</v>
      </c>
      <c r="Z155" s="21" t="s">
        <v>256</v>
      </c>
      <c r="AA155" s="21" t="s">
        <v>1354</v>
      </c>
      <c r="AB155" s="21" t="s">
        <v>1355</v>
      </c>
      <c r="AC155" s="21" t="s">
        <v>1356</v>
      </c>
      <c r="AD155" s="22">
        <v>550000</v>
      </c>
      <c r="AE155" s="23" t="s">
        <v>116</v>
      </c>
      <c r="AF155" s="24"/>
      <c r="AG155" s="23" t="s">
        <v>117</v>
      </c>
      <c r="AH155" s="24"/>
      <c r="AI155" s="25" t="s">
        <v>117</v>
      </c>
      <c r="AJ155" s="24"/>
      <c r="AK155" s="25" t="s">
        <v>117</v>
      </c>
      <c r="AL155" s="22"/>
      <c r="AM155" s="23" t="s">
        <v>117</v>
      </c>
      <c r="AN155" s="24"/>
      <c r="AO155" s="25" t="s">
        <v>117</v>
      </c>
      <c r="AP155" s="26"/>
      <c r="AQ155" s="23" t="s">
        <v>117</v>
      </c>
      <c r="AR155" s="24"/>
      <c r="AS155" s="23" t="s">
        <v>117</v>
      </c>
      <c r="AT155" s="27"/>
      <c r="AU155" s="23" t="s">
        <v>117</v>
      </c>
      <c r="AV155" s="22"/>
      <c r="AW155" s="23" t="s">
        <v>117</v>
      </c>
      <c r="AX155" s="22"/>
      <c r="AY155" s="23" t="s">
        <v>117</v>
      </c>
      <c r="AZ155" s="26"/>
      <c r="BA155" s="23" t="s">
        <v>117</v>
      </c>
      <c r="BB155" s="24"/>
      <c r="BC155" s="23" t="s">
        <v>117</v>
      </c>
      <c r="BD155" s="27">
        <v>3000</v>
      </c>
      <c r="BE155" s="23" t="s">
        <v>116</v>
      </c>
      <c r="BF155" s="27"/>
      <c r="BG155" s="23" t="s">
        <v>117</v>
      </c>
      <c r="BH155" s="28"/>
      <c r="BI155" s="25" t="s">
        <v>117</v>
      </c>
      <c r="BJ155" s="28"/>
      <c r="BK155" s="25" t="s">
        <v>117</v>
      </c>
      <c r="BL155" s="28"/>
      <c r="BM155" s="25" t="s">
        <v>117</v>
      </c>
      <c r="BN155" s="28"/>
      <c r="BO155" s="25" t="s">
        <v>117</v>
      </c>
      <c r="BP155" s="28"/>
      <c r="BQ155" s="25" t="s">
        <v>117</v>
      </c>
      <c r="BR155" s="28"/>
      <c r="BS155" s="25" t="s">
        <v>117</v>
      </c>
      <c r="BT155" s="28"/>
      <c r="BU155" s="25" t="s">
        <v>117</v>
      </c>
      <c r="BV155" s="28"/>
      <c r="BW155" s="25" t="s">
        <v>117</v>
      </c>
      <c r="BX155" s="28"/>
      <c r="BY155" s="25" t="s">
        <v>117</v>
      </c>
      <c r="BZ155" s="28"/>
      <c r="CA155" s="25" t="s">
        <v>117</v>
      </c>
      <c r="CB155" s="28"/>
      <c r="CC155" s="25" t="s">
        <v>117</v>
      </c>
      <c r="CD155" s="28"/>
      <c r="CE155" s="25" t="s">
        <v>117</v>
      </c>
      <c r="CF155" s="28"/>
      <c r="CG155" s="25" t="s">
        <v>117</v>
      </c>
      <c r="CH155" s="28"/>
      <c r="CI155" s="25"/>
      <c r="CJ155" s="28"/>
      <c r="CK155" s="29" t="s">
        <v>117</v>
      </c>
      <c r="CL155" s="28"/>
      <c r="CM155" s="29" t="s">
        <v>117</v>
      </c>
      <c r="CN155" s="28"/>
      <c r="CO155" s="25" t="s">
        <v>117</v>
      </c>
      <c r="CP155" s="30"/>
      <c r="CQ155" s="23" t="s">
        <v>117</v>
      </c>
      <c r="CR155" s="30"/>
      <c r="CS155" s="23" t="s">
        <v>117</v>
      </c>
      <c r="CT155" s="30"/>
      <c r="CU155" s="23" t="s">
        <v>117</v>
      </c>
      <c r="CV155" s="31"/>
      <c r="CW155" s="23" t="s">
        <v>117</v>
      </c>
      <c r="CX155" s="32"/>
      <c r="CY155" s="25" t="s">
        <v>117</v>
      </c>
      <c r="CZ155" s="32"/>
      <c r="DA155" s="25" t="s">
        <v>117</v>
      </c>
      <c r="DB155" s="33"/>
      <c r="DC155" s="25" t="s">
        <v>117</v>
      </c>
      <c r="DD155" s="34">
        <f t="shared" si="33"/>
        <v>41250</v>
      </c>
      <c r="DE155" t="s">
        <v>1357</v>
      </c>
      <c r="DF155" t="str">
        <f t="shared" si="34"/>
        <v>India#Company#India Liaison Office</v>
      </c>
      <c r="DG155" t="b">
        <f t="shared" si="35"/>
        <v>1</v>
      </c>
    </row>
    <row r="156" spans="1:111" ht="15" hidden="1" customHeight="1" x14ac:dyDescent="0.35">
      <c r="A156" s="18" t="s">
        <v>1224</v>
      </c>
      <c r="B156" s="18"/>
      <c r="C156" s="18" t="s">
        <v>122</v>
      </c>
      <c r="D156" s="19" t="s">
        <v>1358</v>
      </c>
      <c r="E156" s="18" t="s">
        <v>1227</v>
      </c>
      <c r="F156" s="20" t="s">
        <v>1359</v>
      </c>
      <c r="G156" s="20" t="s">
        <v>1360</v>
      </c>
      <c r="H156" s="20" t="s">
        <v>1361</v>
      </c>
      <c r="I156" s="20" t="s">
        <v>1362</v>
      </c>
      <c r="J156" s="20" t="s">
        <v>1230</v>
      </c>
      <c r="K156" s="20" t="s">
        <v>96</v>
      </c>
      <c r="L156" s="20" t="s">
        <v>97</v>
      </c>
      <c r="M156" s="20" t="s">
        <v>98</v>
      </c>
      <c r="N156" s="20" t="s">
        <v>1363</v>
      </c>
      <c r="O156" s="20" t="s">
        <v>1364</v>
      </c>
      <c r="P156" s="20" t="s">
        <v>1365</v>
      </c>
      <c r="Q156" s="20" t="s">
        <v>1366</v>
      </c>
      <c r="R156" s="20" t="s">
        <v>1367</v>
      </c>
      <c r="S156" s="20" t="s">
        <v>1368</v>
      </c>
      <c r="T156" s="20" t="s">
        <v>1369</v>
      </c>
      <c r="U156" s="20" t="s">
        <v>1370</v>
      </c>
      <c r="V156" s="21" t="s">
        <v>1371</v>
      </c>
      <c r="W156" s="21" t="s">
        <v>108</v>
      </c>
      <c r="X156" s="21" t="s">
        <v>117</v>
      </c>
      <c r="Y156" s="21" t="s">
        <v>1372</v>
      </c>
      <c r="Z156" s="21" t="s">
        <v>111</v>
      </c>
      <c r="AA156" s="21" t="s">
        <v>117</v>
      </c>
      <c r="AB156" s="21" t="s">
        <v>1373</v>
      </c>
      <c r="AC156" s="21" t="s">
        <v>1374</v>
      </c>
      <c r="AD156" s="22">
        <v>84270</v>
      </c>
      <c r="AE156" s="23" t="s">
        <v>116</v>
      </c>
      <c r="AF156" s="24"/>
      <c r="AG156" s="23" t="s">
        <v>117</v>
      </c>
      <c r="AH156" s="24"/>
      <c r="AI156" s="25" t="s">
        <v>117</v>
      </c>
      <c r="AJ156" s="24"/>
      <c r="AK156" s="25" t="s">
        <v>117</v>
      </c>
      <c r="AL156" s="22"/>
      <c r="AM156" s="23" t="s">
        <v>117</v>
      </c>
      <c r="AN156" s="24"/>
      <c r="AO156" s="25" t="s">
        <v>117</v>
      </c>
      <c r="AP156" s="26"/>
      <c r="AQ156" s="23" t="s">
        <v>117</v>
      </c>
      <c r="AR156" s="24"/>
      <c r="AS156" s="23" t="s">
        <v>117</v>
      </c>
      <c r="AT156" s="27"/>
      <c r="AU156" s="23" t="s">
        <v>117</v>
      </c>
      <c r="AV156" s="22"/>
      <c r="AW156" s="23" t="s">
        <v>117</v>
      </c>
      <c r="AX156" s="22"/>
      <c r="AY156" s="23" t="s">
        <v>117</v>
      </c>
      <c r="AZ156" s="26" t="s">
        <v>1375</v>
      </c>
      <c r="BA156" s="23" t="s">
        <v>116</v>
      </c>
      <c r="BB156" s="24"/>
      <c r="BC156" s="23" t="s">
        <v>117</v>
      </c>
      <c r="BD156" s="27"/>
      <c r="BE156" s="23" t="s">
        <v>117</v>
      </c>
      <c r="BF156" s="27"/>
      <c r="BG156" s="23" t="s">
        <v>117</v>
      </c>
      <c r="BH156" s="28"/>
      <c r="BI156" s="25" t="s">
        <v>117</v>
      </c>
      <c r="BJ156" s="28"/>
      <c r="BK156" s="25" t="s">
        <v>117</v>
      </c>
      <c r="BL156" s="28"/>
      <c r="BM156" s="25" t="s">
        <v>117</v>
      </c>
      <c r="BN156" s="28"/>
      <c r="BO156" s="25" t="s">
        <v>117</v>
      </c>
      <c r="BP156" s="28"/>
      <c r="BQ156" s="25" t="s">
        <v>117</v>
      </c>
      <c r="BR156" s="28"/>
      <c r="BS156" s="25" t="s">
        <v>117</v>
      </c>
      <c r="BT156" s="28"/>
      <c r="BU156" s="25" t="s">
        <v>117</v>
      </c>
      <c r="BV156" s="28"/>
      <c r="BW156" s="25" t="s">
        <v>117</v>
      </c>
      <c r="BX156" s="28"/>
      <c r="BY156" s="25" t="s">
        <v>117</v>
      </c>
      <c r="BZ156" s="28"/>
      <c r="CA156" s="25" t="s">
        <v>117</v>
      </c>
      <c r="CB156" s="28"/>
      <c r="CC156" s="25" t="s">
        <v>117</v>
      </c>
      <c r="CD156" s="28"/>
      <c r="CE156" s="25" t="s">
        <v>117</v>
      </c>
      <c r="CF156" s="28"/>
      <c r="CG156" s="25" t="s">
        <v>117</v>
      </c>
      <c r="CH156" s="28"/>
      <c r="CI156" s="25"/>
      <c r="CJ156" s="28"/>
      <c r="CK156" s="29" t="s">
        <v>117</v>
      </c>
      <c r="CL156" s="28"/>
      <c r="CM156" s="29" t="s">
        <v>117</v>
      </c>
      <c r="CN156" s="28"/>
      <c r="CO156" s="25" t="s">
        <v>117</v>
      </c>
      <c r="CP156" s="30"/>
      <c r="CQ156" s="23" t="s">
        <v>117</v>
      </c>
      <c r="CR156" s="30"/>
      <c r="CS156" s="23" t="s">
        <v>117</v>
      </c>
      <c r="CT156" s="30"/>
      <c r="CU156" s="23" t="s">
        <v>117</v>
      </c>
      <c r="CV156" s="31"/>
      <c r="CW156" s="23" t="s">
        <v>117</v>
      </c>
      <c r="CX156" s="32"/>
      <c r="CY156" s="25" t="s">
        <v>117</v>
      </c>
      <c r="CZ156" s="32"/>
      <c r="DA156" s="25" t="s">
        <v>117</v>
      </c>
      <c r="DB156" s="33"/>
      <c r="DC156" s="25" t="s">
        <v>117</v>
      </c>
      <c r="DD156" s="34">
        <f t="shared" si="33"/>
        <v>6320</v>
      </c>
      <c r="DE156" t="s">
        <v>1376</v>
      </c>
      <c r="DF156" t="str">
        <f t="shared" si="34"/>
        <v>India#Trust#India Will</v>
      </c>
      <c r="DG156" t="b">
        <f t="shared" si="35"/>
        <v>1</v>
      </c>
    </row>
    <row r="157" spans="1:111" ht="90" hidden="1" customHeight="1" x14ac:dyDescent="0.35">
      <c r="A157" s="184" t="s">
        <v>1377</v>
      </c>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c r="AA157" s="184"/>
      <c r="AB157" s="184"/>
      <c r="AC157" s="184"/>
      <c r="AD157" s="184"/>
      <c r="AE157" s="184"/>
      <c r="AF157" s="184"/>
      <c r="AG157" s="184"/>
      <c r="AH157" s="184"/>
      <c r="AI157" s="184"/>
      <c r="AJ157" s="184"/>
      <c r="AK157" s="184"/>
      <c r="AL157" s="184"/>
      <c r="AM157" s="184"/>
      <c r="AN157" s="184"/>
      <c r="AO157" s="184"/>
      <c r="AP157" s="184"/>
      <c r="AQ157" s="184"/>
      <c r="AR157" s="184"/>
      <c r="AS157" s="184"/>
      <c r="AT157" s="184"/>
      <c r="AU157" s="184"/>
      <c r="AV157" s="184"/>
      <c r="AW157" s="184"/>
      <c r="AX157" s="184"/>
      <c r="AY157" s="184"/>
      <c r="AZ157" s="184"/>
      <c r="BA157" s="184"/>
      <c r="BB157" s="184"/>
      <c r="BC157" s="184"/>
      <c r="BD157" s="184"/>
      <c r="BE157" s="184"/>
      <c r="BF157" s="184"/>
      <c r="BG157" s="184"/>
      <c r="BH157" s="184"/>
      <c r="BI157" s="184"/>
      <c r="BJ157" s="184"/>
      <c r="BK157" s="184"/>
      <c r="BL157" s="184"/>
      <c r="BM157" s="184"/>
      <c r="BN157" s="184"/>
      <c r="BO157" s="184"/>
      <c r="BP157" s="184"/>
      <c r="BQ157" s="184"/>
      <c r="BR157" s="184"/>
      <c r="BS157" s="184"/>
      <c r="BT157" s="184"/>
      <c r="BU157" s="184"/>
      <c r="BV157" s="184"/>
      <c r="BW157" s="184"/>
      <c r="BX157" s="184"/>
      <c r="BY157" s="184"/>
      <c r="BZ157" s="184"/>
      <c r="CA157" s="184"/>
      <c r="CB157" s="184"/>
      <c r="CC157" s="184"/>
      <c r="CD157" s="184"/>
      <c r="CE157" s="184"/>
      <c r="CF157" s="184"/>
      <c r="CG157" s="184"/>
      <c r="CH157" s="184"/>
      <c r="CI157" s="184"/>
      <c r="CJ157" s="184"/>
      <c r="CK157" s="184"/>
      <c r="CL157" s="184"/>
      <c r="CM157" s="184"/>
      <c r="CN157" s="184"/>
      <c r="CO157" s="184"/>
      <c r="CP157" s="184"/>
      <c r="CQ157" s="184"/>
      <c r="CR157" s="184"/>
      <c r="CS157" s="184"/>
      <c r="CT157" s="184"/>
      <c r="CU157" s="184"/>
      <c r="CV157" s="184"/>
      <c r="CW157" s="184"/>
      <c r="CX157" s="184"/>
      <c r="CY157" s="184"/>
      <c r="CZ157" s="184"/>
      <c r="DA157" s="184"/>
      <c r="DB157" s="184"/>
      <c r="DC157" s="184"/>
      <c r="DE157" t="s">
        <v>85</v>
      </c>
      <c r="DF157" t="str">
        <f>A145&amp;"#"&amp;C145&amp;"#"&amp;D145</f>
        <v>India#Company#India Private Limited</v>
      </c>
    </row>
    <row r="158" spans="1:111" ht="78.75" hidden="1" customHeight="1" x14ac:dyDescent="0.35">
      <c r="A158" s="18" t="s">
        <v>1378</v>
      </c>
      <c r="B158" s="42" t="s">
        <v>1379</v>
      </c>
      <c r="C158" s="18" t="s">
        <v>88</v>
      </c>
      <c r="D158" s="19" t="s">
        <v>1380</v>
      </c>
      <c r="E158" s="18" t="s">
        <v>817</v>
      </c>
      <c r="F158" s="20" t="s">
        <v>143</v>
      </c>
      <c r="G158" s="20" t="s">
        <v>1381</v>
      </c>
      <c r="H158" s="20" t="s">
        <v>93</v>
      </c>
      <c r="I158" s="20" t="s">
        <v>1161</v>
      </c>
      <c r="J158" s="20" t="s">
        <v>1382</v>
      </c>
      <c r="K158" s="20" t="s">
        <v>96</v>
      </c>
      <c r="L158" s="20" t="s">
        <v>97</v>
      </c>
      <c r="M158" s="20" t="s">
        <v>98</v>
      </c>
      <c r="N158" s="20" t="s">
        <v>1383</v>
      </c>
      <c r="O158" s="20" t="s">
        <v>100</v>
      </c>
      <c r="P158" s="20" t="s">
        <v>101</v>
      </c>
      <c r="Q158" s="20" t="s">
        <v>102</v>
      </c>
      <c r="R158" s="20" t="s">
        <v>103</v>
      </c>
      <c r="S158" s="20" t="s">
        <v>104</v>
      </c>
      <c r="T158" s="20" t="s">
        <v>105</v>
      </c>
      <c r="U158" s="20" t="s">
        <v>106</v>
      </c>
      <c r="V158" s="21" t="s">
        <v>243</v>
      </c>
      <c r="W158" s="21" t="s">
        <v>108</v>
      </c>
      <c r="X158" s="21" t="s">
        <v>109</v>
      </c>
      <c r="Y158" s="21" t="s">
        <v>1384</v>
      </c>
      <c r="Z158" s="21" t="s">
        <v>256</v>
      </c>
      <c r="AA158" s="21" t="s">
        <v>112</v>
      </c>
      <c r="AB158" s="21" t="s">
        <v>1385</v>
      </c>
      <c r="AC158" s="21" t="s">
        <v>1386</v>
      </c>
      <c r="AD158" s="26">
        <v>2280</v>
      </c>
      <c r="AE158" s="23" t="s">
        <v>115</v>
      </c>
      <c r="AF158" s="24"/>
      <c r="AG158" s="23" t="s">
        <v>116</v>
      </c>
      <c r="AH158" s="24"/>
      <c r="AI158" s="25" t="s">
        <v>117</v>
      </c>
      <c r="AJ158" s="24"/>
      <c r="AK158" s="25" t="s">
        <v>117</v>
      </c>
      <c r="AL158" s="22">
        <v>0</v>
      </c>
      <c r="AM158" s="23" t="s">
        <v>115</v>
      </c>
      <c r="AN158" s="24"/>
      <c r="AO158" s="25" t="s">
        <v>117</v>
      </c>
      <c r="AP158" s="22">
        <v>5830</v>
      </c>
      <c r="AQ158" s="23" t="s">
        <v>115</v>
      </c>
      <c r="AR158" s="24"/>
      <c r="AS158" s="23" t="s">
        <v>117</v>
      </c>
      <c r="AT158" s="27" t="s">
        <v>118</v>
      </c>
      <c r="AU158" s="23" t="s">
        <v>116</v>
      </c>
      <c r="AV158" s="22">
        <v>900</v>
      </c>
      <c r="AW158" s="23" t="s">
        <v>115</v>
      </c>
      <c r="AX158" s="22">
        <v>1060</v>
      </c>
      <c r="AY158" s="23" t="s">
        <v>115</v>
      </c>
      <c r="AZ158" s="27" t="s">
        <v>118</v>
      </c>
      <c r="BA158" s="23" t="s">
        <v>115</v>
      </c>
      <c r="BB158" s="28"/>
      <c r="BC158" s="23" t="s">
        <v>115</v>
      </c>
      <c r="BD158" s="27" t="s">
        <v>118</v>
      </c>
      <c r="BE158" s="23" t="s">
        <v>115</v>
      </c>
      <c r="BF158" s="27" t="s">
        <v>118</v>
      </c>
      <c r="BG158" s="23" t="s">
        <v>115</v>
      </c>
      <c r="BH158" s="28"/>
      <c r="BI158" s="25" t="s">
        <v>117</v>
      </c>
      <c r="BJ158" s="28"/>
      <c r="BK158" s="25" t="s">
        <v>117</v>
      </c>
      <c r="BL158" s="28"/>
      <c r="BM158" s="25" t="s">
        <v>117</v>
      </c>
      <c r="BN158" s="28"/>
      <c r="BO158" s="25" t="s">
        <v>117</v>
      </c>
      <c r="BP158" s="28"/>
      <c r="BQ158" s="25" t="s">
        <v>117</v>
      </c>
      <c r="BR158" s="28"/>
      <c r="BS158" s="25" t="s">
        <v>117</v>
      </c>
      <c r="BT158" s="28"/>
      <c r="BU158" s="25" t="s">
        <v>117</v>
      </c>
      <c r="BV158" s="28"/>
      <c r="BW158" s="25" t="s">
        <v>117</v>
      </c>
      <c r="BX158" s="28"/>
      <c r="BY158" s="25" t="s">
        <v>117</v>
      </c>
      <c r="BZ158" s="28"/>
      <c r="CA158" s="25" t="s">
        <v>117</v>
      </c>
      <c r="CB158" s="28"/>
      <c r="CC158" s="25" t="s">
        <v>117</v>
      </c>
      <c r="CD158" s="28"/>
      <c r="CE158" s="25" t="s">
        <v>117</v>
      </c>
      <c r="CF158" s="28"/>
      <c r="CG158" s="25" t="s">
        <v>117</v>
      </c>
      <c r="CH158" s="28"/>
      <c r="CI158" s="25"/>
      <c r="CJ158" s="28"/>
      <c r="CK158" s="29" t="s">
        <v>117</v>
      </c>
      <c r="CL158" s="28"/>
      <c r="CM158" s="29" t="s">
        <v>117</v>
      </c>
      <c r="CN158" s="28"/>
      <c r="CO158" s="25" t="s">
        <v>117</v>
      </c>
      <c r="CP158" s="30">
        <v>400</v>
      </c>
      <c r="CQ158" s="23" t="s">
        <v>115</v>
      </c>
      <c r="CR158" s="32"/>
      <c r="CS158" s="23" t="s">
        <v>117</v>
      </c>
      <c r="CT158" s="32"/>
      <c r="CU158" s="23" t="s">
        <v>117</v>
      </c>
      <c r="CV158" s="32"/>
      <c r="CW158" s="23" t="s">
        <v>117</v>
      </c>
      <c r="CX158" s="32"/>
      <c r="CY158" s="25" t="s">
        <v>117</v>
      </c>
      <c r="CZ158" s="32"/>
      <c r="DA158" s="25" t="s">
        <v>117</v>
      </c>
      <c r="DB158" s="33" t="s">
        <v>1387</v>
      </c>
      <c r="DC158" s="25" t="s">
        <v>116</v>
      </c>
      <c r="DD158" s="34">
        <f>ROUND(0.075*SUM(AD158,AF158,AH158,AJ158,AL158,AN158,AP158,AR158,AT158,AV158,AX158,AZ158,BB158,BR158,BT158,BV158,BX158,BZ158,CB158,CD158,CF158,CJ158,CL158,CN158,CP158,CR158,CT158,CV158,CX158,CZ158),0)</f>
        <v>785</v>
      </c>
      <c r="DE158" t="s">
        <v>1388</v>
      </c>
      <c r="DF158" t="str">
        <f>A158&amp;"#"&amp;C158&amp;"#"&amp;D158</f>
        <v>Ireland#Company#Ireland Ltd</v>
      </c>
      <c r="DG158" t="b">
        <f>DE158=DF158</f>
        <v>1</v>
      </c>
    </row>
    <row r="159" spans="1:111" ht="78.75" hidden="1" customHeight="1" x14ac:dyDescent="0.35">
      <c r="A159" s="184" t="s">
        <v>1389</v>
      </c>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c r="AA159" s="184"/>
      <c r="AB159" s="184"/>
      <c r="AC159" s="184"/>
      <c r="AD159" s="184"/>
      <c r="AE159" s="184"/>
      <c r="AF159" s="184"/>
      <c r="AG159" s="184"/>
      <c r="AH159" s="184"/>
      <c r="AI159" s="184"/>
      <c r="AJ159" s="184"/>
      <c r="AK159" s="184"/>
      <c r="AL159" s="184"/>
      <c r="AM159" s="184"/>
      <c r="AN159" s="184"/>
      <c r="AO159" s="184"/>
      <c r="AP159" s="184"/>
      <c r="AQ159" s="184"/>
      <c r="AR159" s="184"/>
      <c r="AS159" s="184"/>
      <c r="AT159" s="184"/>
      <c r="AU159" s="184"/>
      <c r="AV159" s="184"/>
      <c r="AW159" s="184"/>
      <c r="AX159" s="184"/>
      <c r="AY159" s="184"/>
      <c r="AZ159" s="184"/>
      <c r="BA159" s="184"/>
      <c r="BB159" s="184"/>
      <c r="BC159" s="184"/>
      <c r="BD159" s="184"/>
      <c r="BE159" s="184"/>
      <c r="BF159" s="184"/>
      <c r="BG159" s="184"/>
      <c r="BH159" s="184"/>
      <c r="BI159" s="184"/>
      <c r="BJ159" s="184"/>
      <c r="BK159" s="184"/>
      <c r="BL159" s="184"/>
      <c r="BM159" s="184"/>
      <c r="BN159" s="184"/>
      <c r="BO159" s="184"/>
      <c r="BP159" s="184"/>
      <c r="BQ159" s="184"/>
      <c r="BR159" s="184"/>
      <c r="BS159" s="184"/>
      <c r="BT159" s="184"/>
      <c r="BU159" s="184"/>
      <c r="BV159" s="184"/>
      <c r="BW159" s="184"/>
      <c r="BX159" s="184"/>
      <c r="BY159" s="184"/>
      <c r="BZ159" s="184"/>
      <c r="CA159" s="184"/>
      <c r="CB159" s="184"/>
      <c r="CC159" s="184"/>
      <c r="CD159" s="184"/>
      <c r="CE159" s="184"/>
      <c r="CF159" s="184"/>
      <c r="CG159" s="184"/>
      <c r="CH159" s="184"/>
      <c r="CI159" s="184"/>
      <c r="CJ159" s="184"/>
      <c r="CK159" s="184"/>
      <c r="CL159" s="184"/>
      <c r="CM159" s="184"/>
      <c r="CN159" s="184"/>
      <c r="CO159" s="184"/>
      <c r="CP159" s="184"/>
      <c r="CQ159" s="184"/>
      <c r="CR159" s="184"/>
      <c r="CS159" s="184"/>
      <c r="CT159" s="184"/>
      <c r="CU159" s="184"/>
      <c r="CV159" s="184"/>
      <c r="CW159" s="184"/>
      <c r="CX159" s="184"/>
      <c r="CY159" s="184"/>
      <c r="CZ159" s="184"/>
      <c r="DA159" s="184"/>
      <c r="DB159" s="184"/>
      <c r="DC159" s="184"/>
      <c r="DE159" t="s">
        <v>85</v>
      </c>
      <c r="DF159" t="str">
        <f>A147&amp;"#"&amp;C147&amp;"#"&amp;D147</f>
        <v>India#Trust#India AIF Trust</v>
      </c>
    </row>
    <row r="160" spans="1:111" ht="78.75" customHeight="1" x14ac:dyDescent="0.35">
      <c r="A160" s="42" t="s">
        <v>1390</v>
      </c>
      <c r="B160" s="42" t="s">
        <v>1391</v>
      </c>
      <c r="C160" s="42" t="s">
        <v>141</v>
      </c>
      <c r="D160" s="43" t="s">
        <v>1392</v>
      </c>
      <c r="E160" s="42" t="s">
        <v>90</v>
      </c>
      <c r="F160" s="20" t="s">
        <v>143</v>
      </c>
      <c r="G160" s="20" t="s">
        <v>1393</v>
      </c>
      <c r="H160" s="20" t="s">
        <v>1394</v>
      </c>
      <c r="I160" s="20" t="s">
        <v>146</v>
      </c>
      <c r="J160" s="20" t="s">
        <v>1395</v>
      </c>
      <c r="K160" s="20" t="s">
        <v>96</v>
      </c>
      <c r="L160" s="20" t="s">
        <v>97</v>
      </c>
      <c r="M160" s="20" t="s">
        <v>98</v>
      </c>
      <c r="N160" s="20" t="s">
        <v>147</v>
      </c>
      <c r="O160" s="20" t="s">
        <v>148</v>
      </c>
      <c r="P160" s="20" t="s">
        <v>149</v>
      </c>
      <c r="Q160" s="20" t="s">
        <v>150</v>
      </c>
      <c r="R160" s="20" t="s">
        <v>151</v>
      </c>
      <c r="S160" s="20" t="s">
        <v>152</v>
      </c>
      <c r="T160" s="20" t="s">
        <v>153</v>
      </c>
      <c r="U160" s="20" t="s">
        <v>154</v>
      </c>
      <c r="V160" s="21" t="s">
        <v>155</v>
      </c>
      <c r="W160" s="21" t="s">
        <v>1396</v>
      </c>
      <c r="X160" s="21" t="s">
        <v>109</v>
      </c>
      <c r="Y160" s="21" t="s">
        <v>1397</v>
      </c>
      <c r="Z160" s="21" t="s">
        <v>1398</v>
      </c>
      <c r="AA160" s="21" t="s">
        <v>112</v>
      </c>
      <c r="AB160" s="21" t="s">
        <v>1399</v>
      </c>
      <c r="AC160" s="21" t="s">
        <v>1400</v>
      </c>
      <c r="AD160" s="44"/>
      <c r="AE160" s="23" t="s">
        <v>115</v>
      </c>
      <c r="AF160" s="44"/>
      <c r="AG160" s="23" t="s">
        <v>116</v>
      </c>
      <c r="AH160" s="44"/>
      <c r="AI160" s="25" t="s">
        <v>117</v>
      </c>
      <c r="AJ160" s="44"/>
      <c r="AK160" s="25" t="s">
        <v>117</v>
      </c>
      <c r="AL160" s="22">
        <v>0</v>
      </c>
      <c r="AM160" s="23" t="s">
        <v>115</v>
      </c>
      <c r="AN160" s="44"/>
      <c r="AO160" s="25" t="s">
        <v>117</v>
      </c>
      <c r="AP160" s="45" t="s">
        <v>118</v>
      </c>
      <c r="AQ160" s="23" t="s">
        <v>115</v>
      </c>
      <c r="AR160" s="46"/>
      <c r="AS160" s="23" t="s">
        <v>117</v>
      </c>
      <c r="AT160" s="45" t="s">
        <v>118</v>
      </c>
      <c r="AU160" s="23" t="s">
        <v>116</v>
      </c>
      <c r="AV160" s="45" t="s">
        <v>118</v>
      </c>
      <c r="AW160" s="23" t="s">
        <v>115</v>
      </c>
      <c r="AX160" s="45" t="s">
        <v>118</v>
      </c>
      <c r="AY160" s="23" t="s">
        <v>115</v>
      </c>
      <c r="AZ160" s="45" t="s">
        <v>118</v>
      </c>
      <c r="BA160" s="23" t="s">
        <v>115</v>
      </c>
      <c r="BB160" s="46"/>
      <c r="BC160" s="23" t="s">
        <v>115</v>
      </c>
      <c r="BD160" s="45" t="s">
        <v>118</v>
      </c>
      <c r="BE160" s="23" t="s">
        <v>115</v>
      </c>
      <c r="BF160" s="45" t="s">
        <v>118</v>
      </c>
      <c r="BG160" s="23" t="s">
        <v>115</v>
      </c>
      <c r="BH160" s="46"/>
      <c r="BI160" s="25" t="s">
        <v>117</v>
      </c>
      <c r="BJ160" s="46"/>
      <c r="BK160" s="25" t="s">
        <v>117</v>
      </c>
      <c r="BL160" s="46"/>
      <c r="BM160" s="25" t="s">
        <v>117</v>
      </c>
      <c r="BN160" s="46"/>
      <c r="BO160" s="25" t="s">
        <v>117</v>
      </c>
      <c r="BP160" s="46"/>
      <c r="BQ160" s="25" t="s">
        <v>117</v>
      </c>
      <c r="BR160" s="47">
        <v>10000</v>
      </c>
      <c r="BS160" s="25" t="s">
        <v>115</v>
      </c>
      <c r="BT160" s="46"/>
      <c r="BU160" s="25" t="s">
        <v>117</v>
      </c>
      <c r="BV160" s="46"/>
      <c r="BW160" s="25" t="s">
        <v>117</v>
      </c>
      <c r="BX160" s="46"/>
      <c r="BY160" s="25" t="s">
        <v>117</v>
      </c>
      <c r="BZ160" s="46"/>
      <c r="CA160" s="25" t="s">
        <v>117</v>
      </c>
      <c r="CB160" s="45" t="s">
        <v>159</v>
      </c>
      <c r="CC160" s="25" t="s">
        <v>116</v>
      </c>
      <c r="CD160" s="46"/>
      <c r="CE160" s="25" t="s">
        <v>117</v>
      </c>
      <c r="CF160" s="46"/>
      <c r="CG160" s="25" t="s">
        <v>117</v>
      </c>
      <c r="CH160" s="151">
        <v>5000</v>
      </c>
      <c r="CI160" s="25" t="s">
        <v>116</v>
      </c>
      <c r="CJ160" s="151">
        <v>2500</v>
      </c>
      <c r="CK160" s="48" t="s">
        <v>116</v>
      </c>
      <c r="CL160" s="46">
        <v>1500</v>
      </c>
      <c r="CM160" s="48" t="s">
        <v>116</v>
      </c>
      <c r="CN160" s="46">
        <v>1500</v>
      </c>
      <c r="CO160" s="25" t="s">
        <v>116</v>
      </c>
      <c r="CP160" s="30">
        <v>400</v>
      </c>
      <c r="CQ160" s="23" t="s">
        <v>115</v>
      </c>
      <c r="CR160" s="32"/>
      <c r="CS160" s="23" t="s">
        <v>117</v>
      </c>
      <c r="CT160" s="32"/>
      <c r="CU160" s="23" t="s">
        <v>117</v>
      </c>
      <c r="CV160" s="32"/>
      <c r="CW160" s="23" t="s">
        <v>117</v>
      </c>
      <c r="CX160" s="32"/>
      <c r="CY160" s="25" t="s">
        <v>117</v>
      </c>
      <c r="CZ160" s="32"/>
      <c r="DA160" s="25" t="s">
        <v>117</v>
      </c>
      <c r="DB160" s="33" t="s">
        <v>120</v>
      </c>
      <c r="DC160" s="25" t="s">
        <v>116</v>
      </c>
      <c r="DD160" s="34">
        <f t="shared" ref="DD160:DD165" si="36">ROUND(0.075*SUM(AD160,AF160,AH160,AJ160,AL160,AN160,AP160,AR160,AT160,AV160,AX160,AZ160,BB160,BR160,BT160,BV160,BX160,BZ160,CB160,CD160,CF160,CJ160,CL160,CN160,CP160,CR160,CT160,CV160,CX160,CZ160),0)</f>
        <v>1193</v>
      </c>
      <c r="DE160" t="s">
        <v>1401</v>
      </c>
      <c r="DF160" t="str">
        <f t="shared" ref="DF160:DF165" si="37">A160&amp;"#"&amp;C160&amp;"#"&amp;D160</f>
        <v>Kazakhstan#Fund#Kazakhstan Ltd</v>
      </c>
      <c r="DG160" t="b">
        <f t="shared" ref="DG160:DG165" si="38">DE160=DF160</f>
        <v>1</v>
      </c>
    </row>
    <row r="161" spans="1:111" ht="90" customHeight="1" x14ac:dyDescent="0.35">
      <c r="A161" s="35" t="s">
        <v>1390</v>
      </c>
      <c r="B161" s="42" t="s">
        <v>1391</v>
      </c>
      <c r="C161" s="35" t="s">
        <v>141</v>
      </c>
      <c r="D161" s="36" t="s">
        <v>1402</v>
      </c>
      <c r="E161" s="35" t="s">
        <v>90</v>
      </c>
      <c r="F161" s="20" t="s">
        <v>1403</v>
      </c>
      <c r="G161" s="20" t="s">
        <v>1404</v>
      </c>
      <c r="H161" s="20" t="s">
        <v>1394</v>
      </c>
      <c r="I161" s="20" t="s">
        <v>146</v>
      </c>
      <c r="J161" s="20" t="s">
        <v>1395</v>
      </c>
      <c r="K161" s="20" t="s">
        <v>96</v>
      </c>
      <c r="L161" s="20" t="s">
        <v>97</v>
      </c>
      <c r="M161" s="20" t="s">
        <v>98</v>
      </c>
      <c r="N161" s="20" t="s">
        <v>147</v>
      </c>
      <c r="O161" s="20" t="s">
        <v>148</v>
      </c>
      <c r="P161" s="20" t="s">
        <v>149</v>
      </c>
      <c r="Q161" s="20" t="s">
        <v>150</v>
      </c>
      <c r="R161" s="20" t="s">
        <v>151</v>
      </c>
      <c r="S161" s="20" t="s">
        <v>152</v>
      </c>
      <c r="T161" s="20" t="s">
        <v>153</v>
      </c>
      <c r="U161" s="20" t="s">
        <v>154</v>
      </c>
      <c r="V161" s="21" t="s">
        <v>267</v>
      </c>
      <c r="W161" s="21" t="s">
        <v>1396</v>
      </c>
      <c r="X161" s="21" t="s">
        <v>109</v>
      </c>
      <c r="Y161" s="21" t="s">
        <v>1405</v>
      </c>
      <c r="Z161" s="21" t="s">
        <v>256</v>
      </c>
      <c r="AA161" s="21" t="s">
        <v>112</v>
      </c>
      <c r="AB161" s="21" t="s">
        <v>1406</v>
      </c>
      <c r="AC161" s="21" t="s">
        <v>1407</v>
      </c>
      <c r="AD161" s="38"/>
      <c r="AE161" s="23" t="s">
        <v>115</v>
      </c>
      <c r="AF161" s="38"/>
      <c r="AG161" s="23" t="s">
        <v>116</v>
      </c>
      <c r="AH161" s="38"/>
      <c r="AI161" s="25" t="s">
        <v>117</v>
      </c>
      <c r="AJ161" s="38"/>
      <c r="AK161" s="25" t="s">
        <v>117</v>
      </c>
      <c r="AL161" s="22">
        <v>0</v>
      </c>
      <c r="AM161" s="23" t="s">
        <v>115</v>
      </c>
      <c r="AN161" s="38"/>
      <c r="AO161" s="25" t="s">
        <v>117</v>
      </c>
      <c r="AP161" s="39" t="s">
        <v>118</v>
      </c>
      <c r="AQ161" s="23" t="s">
        <v>115</v>
      </c>
      <c r="AR161" s="40"/>
      <c r="AS161" s="23" t="s">
        <v>117</v>
      </c>
      <c r="AT161" s="39" t="s">
        <v>118</v>
      </c>
      <c r="AU161" s="23" t="s">
        <v>116</v>
      </c>
      <c r="AV161" s="39" t="s">
        <v>118</v>
      </c>
      <c r="AW161" s="23" t="s">
        <v>115</v>
      </c>
      <c r="AX161" s="39" t="s">
        <v>118</v>
      </c>
      <c r="AY161" s="23" t="s">
        <v>115</v>
      </c>
      <c r="AZ161" s="39" t="s">
        <v>118</v>
      </c>
      <c r="BA161" s="23" t="s">
        <v>115</v>
      </c>
      <c r="BB161" s="40"/>
      <c r="BC161" s="23" t="s">
        <v>115</v>
      </c>
      <c r="BD161" s="39" t="s">
        <v>118</v>
      </c>
      <c r="BE161" s="23" t="s">
        <v>115</v>
      </c>
      <c r="BF161" s="39" t="s">
        <v>118</v>
      </c>
      <c r="BG161" s="23" t="s">
        <v>115</v>
      </c>
      <c r="BH161" s="40"/>
      <c r="BI161" s="25" t="s">
        <v>117</v>
      </c>
      <c r="BJ161" s="40"/>
      <c r="BK161" s="25" t="s">
        <v>117</v>
      </c>
      <c r="BL161" s="40"/>
      <c r="BM161" s="25" t="s">
        <v>117</v>
      </c>
      <c r="BN161" s="40"/>
      <c r="BO161" s="25" t="s">
        <v>117</v>
      </c>
      <c r="BP161" s="40"/>
      <c r="BQ161" s="25" t="s">
        <v>117</v>
      </c>
      <c r="BR161" s="47">
        <v>10000</v>
      </c>
      <c r="BS161" s="25" t="s">
        <v>115</v>
      </c>
      <c r="BT161" s="40"/>
      <c r="BU161" s="25" t="s">
        <v>117</v>
      </c>
      <c r="BV161" s="40"/>
      <c r="BW161" s="25" t="s">
        <v>117</v>
      </c>
      <c r="BX161" s="40"/>
      <c r="BY161" s="25" t="s">
        <v>117</v>
      </c>
      <c r="BZ161" s="46"/>
      <c r="CA161" s="25" t="s">
        <v>117</v>
      </c>
      <c r="CB161" s="45" t="s">
        <v>159</v>
      </c>
      <c r="CC161" s="25" t="s">
        <v>116</v>
      </c>
      <c r="CD161" s="40"/>
      <c r="CE161" s="25" t="s">
        <v>117</v>
      </c>
      <c r="CF161" s="40"/>
      <c r="CG161" s="25" t="s">
        <v>117</v>
      </c>
      <c r="CH161" s="151">
        <v>5000</v>
      </c>
      <c r="CI161" s="25" t="s">
        <v>116</v>
      </c>
      <c r="CJ161" s="151">
        <v>2500</v>
      </c>
      <c r="CK161" s="48" t="s">
        <v>116</v>
      </c>
      <c r="CL161" s="46">
        <v>1500</v>
      </c>
      <c r="CM161" s="48" t="s">
        <v>116</v>
      </c>
      <c r="CN161" s="46">
        <v>1500</v>
      </c>
      <c r="CO161" s="25" t="s">
        <v>116</v>
      </c>
      <c r="CP161" s="30">
        <v>400</v>
      </c>
      <c r="CQ161" s="23" t="s">
        <v>115</v>
      </c>
      <c r="CR161" s="32"/>
      <c r="CS161" s="23" t="s">
        <v>117</v>
      </c>
      <c r="CT161" s="32"/>
      <c r="CU161" s="23" t="s">
        <v>117</v>
      </c>
      <c r="CV161" s="32"/>
      <c r="CW161" s="23" t="s">
        <v>117</v>
      </c>
      <c r="CX161" s="32"/>
      <c r="CY161" s="25" t="s">
        <v>117</v>
      </c>
      <c r="CZ161" s="32"/>
      <c r="DA161" s="25" t="s">
        <v>117</v>
      </c>
      <c r="DB161" s="33" t="s">
        <v>120</v>
      </c>
      <c r="DC161" s="25" t="s">
        <v>116</v>
      </c>
      <c r="DD161" s="34">
        <f t="shared" si="36"/>
        <v>1193</v>
      </c>
      <c r="DE161" t="s">
        <v>1408</v>
      </c>
      <c r="DF161" t="str">
        <f t="shared" si="37"/>
        <v>Kazakhstan#Fund#Kazakhstan PLC</v>
      </c>
      <c r="DG161" t="b">
        <f t="shared" si="38"/>
        <v>1</v>
      </c>
    </row>
    <row r="162" spans="1:111" ht="78.75" customHeight="1" x14ac:dyDescent="0.35">
      <c r="A162" s="42" t="s">
        <v>1390</v>
      </c>
      <c r="B162" s="42" t="s">
        <v>1391</v>
      </c>
      <c r="C162" s="42" t="s">
        <v>141</v>
      </c>
      <c r="D162" s="43" t="s">
        <v>1409</v>
      </c>
      <c r="E162" s="42" t="s">
        <v>90</v>
      </c>
      <c r="F162" s="20" t="s">
        <v>355</v>
      </c>
      <c r="G162" s="20" t="s">
        <v>1410</v>
      </c>
      <c r="H162" s="20" t="s">
        <v>1394</v>
      </c>
      <c r="I162" s="20" t="s">
        <v>146</v>
      </c>
      <c r="J162" s="20" t="s">
        <v>1395</v>
      </c>
      <c r="K162" s="20" t="s">
        <v>96</v>
      </c>
      <c r="L162" s="20" t="s">
        <v>97</v>
      </c>
      <c r="M162" s="20" t="s">
        <v>98</v>
      </c>
      <c r="N162" s="20" t="s">
        <v>147</v>
      </c>
      <c r="O162" s="20" t="s">
        <v>148</v>
      </c>
      <c r="P162" s="20" t="s">
        <v>149</v>
      </c>
      <c r="Q162" s="20" t="s">
        <v>150</v>
      </c>
      <c r="R162" s="20" t="s">
        <v>151</v>
      </c>
      <c r="S162" s="20" t="s">
        <v>152</v>
      </c>
      <c r="T162" s="20" t="s">
        <v>153</v>
      </c>
      <c r="U162" s="20" t="s">
        <v>154</v>
      </c>
      <c r="V162" s="21" t="s">
        <v>292</v>
      </c>
      <c r="W162" s="21" t="s">
        <v>1411</v>
      </c>
      <c r="X162" s="21" t="s">
        <v>572</v>
      </c>
      <c r="Y162" s="21" t="s">
        <v>1412</v>
      </c>
      <c r="Z162" s="21" t="s">
        <v>111</v>
      </c>
      <c r="AA162" s="21" t="s">
        <v>166</v>
      </c>
      <c r="AB162" s="21" t="s">
        <v>1413</v>
      </c>
      <c r="AC162" s="21" t="s">
        <v>1414</v>
      </c>
      <c r="AD162" s="44"/>
      <c r="AE162" s="23" t="s">
        <v>115</v>
      </c>
      <c r="AF162" s="44"/>
      <c r="AG162" s="23" t="s">
        <v>116</v>
      </c>
      <c r="AH162" s="44"/>
      <c r="AI162" s="25" t="s">
        <v>117</v>
      </c>
      <c r="AJ162" s="44"/>
      <c r="AK162" s="25" t="s">
        <v>117</v>
      </c>
      <c r="AL162" s="22">
        <v>0</v>
      </c>
      <c r="AM162" s="23" t="s">
        <v>115</v>
      </c>
      <c r="AN162" s="44"/>
      <c r="AO162" s="25" t="s">
        <v>117</v>
      </c>
      <c r="AP162" s="45" t="s">
        <v>118</v>
      </c>
      <c r="AQ162" s="23" t="s">
        <v>115</v>
      </c>
      <c r="AR162" s="46"/>
      <c r="AS162" s="23" t="s">
        <v>117</v>
      </c>
      <c r="AT162" s="45" t="s">
        <v>118</v>
      </c>
      <c r="AU162" s="23" t="s">
        <v>116</v>
      </c>
      <c r="AV162" s="45" t="s">
        <v>118</v>
      </c>
      <c r="AW162" s="23" t="s">
        <v>115</v>
      </c>
      <c r="AX162" s="45" t="s">
        <v>118</v>
      </c>
      <c r="AY162" s="23" t="s">
        <v>115</v>
      </c>
      <c r="AZ162" s="45" t="s">
        <v>118</v>
      </c>
      <c r="BA162" s="23" t="s">
        <v>115</v>
      </c>
      <c r="BB162" s="46"/>
      <c r="BC162" s="23" t="s">
        <v>115</v>
      </c>
      <c r="BD162" s="45" t="s">
        <v>118</v>
      </c>
      <c r="BE162" s="23" t="s">
        <v>115</v>
      </c>
      <c r="BF162" s="45" t="s">
        <v>118</v>
      </c>
      <c r="BG162" s="23" t="s">
        <v>115</v>
      </c>
      <c r="BH162" s="46"/>
      <c r="BI162" s="25" t="s">
        <v>117</v>
      </c>
      <c r="BJ162" s="46"/>
      <c r="BK162" s="25" t="s">
        <v>117</v>
      </c>
      <c r="BL162" s="46"/>
      <c r="BM162" s="25" t="s">
        <v>117</v>
      </c>
      <c r="BN162" s="46"/>
      <c r="BO162" s="25" t="s">
        <v>117</v>
      </c>
      <c r="BP162" s="46"/>
      <c r="BQ162" s="25" t="s">
        <v>117</v>
      </c>
      <c r="BR162" s="47">
        <v>10000</v>
      </c>
      <c r="BS162" s="25" t="s">
        <v>115</v>
      </c>
      <c r="BT162" s="46"/>
      <c r="BU162" s="25" t="s">
        <v>117</v>
      </c>
      <c r="BV162" s="46"/>
      <c r="BW162" s="25" t="s">
        <v>117</v>
      </c>
      <c r="BX162" s="46"/>
      <c r="BY162" s="25" t="s">
        <v>117</v>
      </c>
      <c r="BZ162" s="46"/>
      <c r="CA162" s="25" t="s">
        <v>117</v>
      </c>
      <c r="CB162" s="45" t="s">
        <v>159</v>
      </c>
      <c r="CC162" s="25" t="s">
        <v>116</v>
      </c>
      <c r="CD162" s="46"/>
      <c r="CE162" s="25" t="s">
        <v>117</v>
      </c>
      <c r="CF162" s="46"/>
      <c r="CG162" s="25" t="s">
        <v>117</v>
      </c>
      <c r="CH162" s="151">
        <v>5000</v>
      </c>
      <c r="CI162" s="25" t="s">
        <v>116</v>
      </c>
      <c r="CJ162" s="151">
        <v>2500</v>
      </c>
      <c r="CK162" s="48" t="s">
        <v>116</v>
      </c>
      <c r="CL162" s="46">
        <v>1500</v>
      </c>
      <c r="CM162" s="48" t="s">
        <v>116</v>
      </c>
      <c r="CN162" s="46">
        <v>1500</v>
      </c>
      <c r="CO162" s="25" t="s">
        <v>116</v>
      </c>
      <c r="CP162" s="30">
        <v>400</v>
      </c>
      <c r="CQ162" s="23" t="s">
        <v>115</v>
      </c>
      <c r="CR162" s="32"/>
      <c r="CS162" s="23" t="s">
        <v>117</v>
      </c>
      <c r="CT162" s="32"/>
      <c r="CU162" s="23" t="s">
        <v>117</v>
      </c>
      <c r="CV162" s="32"/>
      <c r="CW162" s="23" t="s">
        <v>117</v>
      </c>
      <c r="CX162" s="32"/>
      <c r="CY162" s="25" t="s">
        <v>117</v>
      </c>
      <c r="CZ162" s="32"/>
      <c r="DA162" s="25" t="s">
        <v>117</v>
      </c>
      <c r="DB162" s="33" t="s">
        <v>120</v>
      </c>
      <c r="DC162" s="25" t="s">
        <v>116</v>
      </c>
      <c r="DD162" s="34">
        <f t="shared" si="36"/>
        <v>1193</v>
      </c>
      <c r="DE162" t="s">
        <v>1415</v>
      </c>
      <c r="DF162" t="str">
        <f t="shared" si="37"/>
        <v>Kazakhstan#Fund#Kazakhstan LP</v>
      </c>
      <c r="DG162" t="b">
        <f t="shared" si="38"/>
        <v>1</v>
      </c>
    </row>
    <row r="163" spans="1:111" ht="78.75" customHeight="1" x14ac:dyDescent="0.35">
      <c r="A163" s="35" t="s">
        <v>1390</v>
      </c>
      <c r="B163" s="42" t="s">
        <v>1391</v>
      </c>
      <c r="C163" s="35" t="s">
        <v>141</v>
      </c>
      <c r="D163" s="36" t="s">
        <v>1416</v>
      </c>
      <c r="E163" s="35" t="s">
        <v>90</v>
      </c>
      <c r="F163" s="20" t="s">
        <v>1097</v>
      </c>
      <c r="G163" s="20" t="s">
        <v>1417</v>
      </c>
      <c r="H163" s="20" t="s">
        <v>1394</v>
      </c>
      <c r="I163" s="20" t="s">
        <v>146</v>
      </c>
      <c r="J163" s="20" t="s">
        <v>1395</v>
      </c>
      <c r="K163" s="20" t="s">
        <v>96</v>
      </c>
      <c r="L163" s="20" t="s">
        <v>97</v>
      </c>
      <c r="M163" s="20" t="s">
        <v>98</v>
      </c>
      <c r="N163" s="20" t="s">
        <v>147</v>
      </c>
      <c r="O163" s="20" t="s">
        <v>148</v>
      </c>
      <c r="P163" s="20" t="s">
        <v>149</v>
      </c>
      <c r="Q163" s="20" t="s">
        <v>150</v>
      </c>
      <c r="R163" s="20" t="s">
        <v>151</v>
      </c>
      <c r="S163" s="20" t="s">
        <v>152</v>
      </c>
      <c r="T163" s="20" t="s">
        <v>153</v>
      </c>
      <c r="U163" s="20" t="s">
        <v>154</v>
      </c>
      <c r="V163" s="21" t="s">
        <v>180</v>
      </c>
      <c r="W163" s="21" t="s">
        <v>1411</v>
      </c>
      <c r="X163" s="21" t="s">
        <v>181</v>
      </c>
      <c r="Y163" s="21" t="s">
        <v>1405</v>
      </c>
      <c r="Z163" s="21" t="s">
        <v>256</v>
      </c>
      <c r="AA163" s="21" t="s">
        <v>112</v>
      </c>
      <c r="AB163" s="21" t="s">
        <v>1418</v>
      </c>
      <c r="AC163" s="21" t="s">
        <v>1419</v>
      </c>
      <c r="AD163" s="38"/>
      <c r="AE163" s="23" t="s">
        <v>115</v>
      </c>
      <c r="AF163" s="38"/>
      <c r="AG163" s="23" t="s">
        <v>116</v>
      </c>
      <c r="AH163" s="38"/>
      <c r="AI163" s="25" t="s">
        <v>117</v>
      </c>
      <c r="AJ163" s="38"/>
      <c r="AK163" s="25" t="s">
        <v>117</v>
      </c>
      <c r="AL163" s="22">
        <v>0</v>
      </c>
      <c r="AM163" s="23" t="s">
        <v>115</v>
      </c>
      <c r="AN163" s="38"/>
      <c r="AO163" s="25" t="s">
        <v>117</v>
      </c>
      <c r="AP163" s="39" t="s">
        <v>118</v>
      </c>
      <c r="AQ163" s="23" t="s">
        <v>115</v>
      </c>
      <c r="AR163" s="40"/>
      <c r="AS163" s="23" t="s">
        <v>117</v>
      </c>
      <c r="AT163" s="39" t="s">
        <v>118</v>
      </c>
      <c r="AU163" s="23" t="s">
        <v>116</v>
      </c>
      <c r="AV163" s="39" t="s">
        <v>118</v>
      </c>
      <c r="AW163" s="23" t="s">
        <v>115</v>
      </c>
      <c r="AX163" s="39" t="s">
        <v>118</v>
      </c>
      <c r="AY163" s="23" t="s">
        <v>115</v>
      </c>
      <c r="AZ163" s="39" t="s">
        <v>118</v>
      </c>
      <c r="BA163" s="23" t="s">
        <v>115</v>
      </c>
      <c r="BB163" s="40"/>
      <c r="BC163" s="23" t="s">
        <v>115</v>
      </c>
      <c r="BD163" s="39" t="s">
        <v>118</v>
      </c>
      <c r="BE163" s="23" t="s">
        <v>115</v>
      </c>
      <c r="BF163" s="39" t="s">
        <v>118</v>
      </c>
      <c r="BG163" s="23" t="s">
        <v>115</v>
      </c>
      <c r="BH163" s="40"/>
      <c r="BI163" s="25" t="s">
        <v>117</v>
      </c>
      <c r="BJ163" s="40"/>
      <c r="BK163" s="25" t="s">
        <v>117</v>
      </c>
      <c r="BL163" s="40"/>
      <c r="BM163" s="25" t="s">
        <v>117</v>
      </c>
      <c r="BN163" s="40"/>
      <c r="BO163" s="25" t="s">
        <v>117</v>
      </c>
      <c r="BP163" s="40"/>
      <c r="BQ163" s="25" t="s">
        <v>117</v>
      </c>
      <c r="BR163" s="47">
        <v>10000</v>
      </c>
      <c r="BS163" s="25" t="s">
        <v>115</v>
      </c>
      <c r="BT163" s="40"/>
      <c r="BU163" s="25" t="s">
        <v>117</v>
      </c>
      <c r="BV163" s="40"/>
      <c r="BW163" s="25" t="s">
        <v>117</v>
      </c>
      <c r="BX163" s="40"/>
      <c r="BY163" s="25" t="s">
        <v>117</v>
      </c>
      <c r="BZ163" s="46"/>
      <c r="CA163" s="25" t="s">
        <v>117</v>
      </c>
      <c r="CB163" s="45" t="s">
        <v>159</v>
      </c>
      <c r="CC163" s="25" t="s">
        <v>116</v>
      </c>
      <c r="CD163" s="40"/>
      <c r="CE163" s="25" t="s">
        <v>117</v>
      </c>
      <c r="CF163" s="40"/>
      <c r="CG163" s="25" t="s">
        <v>117</v>
      </c>
      <c r="CH163" s="151">
        <v>5000</v>
      </c>
      <c r="CI163" s="25" t="s">
        <v>116</v>
      </c>
      <c r="CJ163" s="151">
        <v>2500</v>
      </c>
      <c r="CK163" s="48" t="s">
        <v>116</v>
      </c>
      <c r="CL163" s="46">
        <v>1500</v>
      </c>
      <c r="CM163" s="48" t="s">
        <v>116</v>
      </c>
      <c r="CN163" s="46">
        <v>1500</v>
      </c>
      <c r="CO163" s="25" t="s">
        <v>116</v>
      </c>
      <c r="CP163" s="30">
        <v>400</v>
      </c>
      <c r="CQ163" s="23" t="s">
        <v>115</v>
      </c>
      <c r="CR163" s="32"/>
      <c r="CS163" s="23" t="s">
        <v>117</v>
      </c>
      <c r="CT163" s="32"/>
      <c r="CU163" s="23" t="s">
        <v>117</v>
      </c>
      <c r="CV163" s="32"/>
      <c r="CW163" s="23" t="s">
        <v>117</v>
      </c>
      <c r="CX163" s="32"/>
      <c r="CY163" s="25" t="s">
        <v>117</v>
      </c>
      <c r="CZ163" s="32"/>
      <c r="DA163" s="25" t="s">
        <v>117</v>
      </c>
      <c r="DB163" s="33" t="s">
        <v>120</v>
      </c>
      <c r="DC163" s="25" t="s">
        <v>116</v>
      </c>
      <c r="DD163" s="34">
        <f t="shared" si="36"/>
        <v>1193</v>
      </c>
      <c r="DE163" t="s">
        <v>1420</v>
      </c>
      <c r="DF163" t="str">
        <f t="shared" si="37"/>
        <v>Kazakhstan#Fund#Kazakhstan PCC</v>
      </c>
      <c r="DG163" t="b">
        <f t="shared" si="38"/>
        <v>1</v>
      </c>
    </row>
    <row r="164" spans="1:111" ht="78.75" customHeight="1" x14ac:dyDescent="0.35">
      <c r="A164" s="42" t="s">
        <v>1390</v>
      </c>
      <c r="B164" s="42" t="s">
        <v>1391</v>
      </c>
      <c r="C164" s="42" t="s">
        <v>141</v>
      </c>
      <c r="D164" s="43" t="s">
        <v>1421</v>
      </c>
      <c r="E164" s="42" t="s">
        <v>90</v>
      </c>
      <c r="F164" s="20" t="s">
        <v>1104</v>
      </c>
      <c r="G164" s="20" t="s">
        <v>1422</v>
      </c>
      <c r="H164" s="20" t="s">
        <v>1394</v>
      </c>
      <c r="I164" s="20" t="s">
        <v>146</v>
      </c>
      <c r="J164" s="20" t="s">
        <v>1395</v>
      </c>
      <c r="K164" s="20" t="s">
        <v>96</v>
      </c>
      <c r="L164" s="20" t="s">
        <v>97</v>
      </c>
      <c r="M164" s="20" t="s">
        <v>98</v>
      </c>
      <c r="N164" s="20" t="s">
        <v>147</v>
      </c>
      <c r="O164" s="20" t="s">
        <v>148</v>
      </c>
      <c r="P164" s="20" t="s">
        <v>149</v>
      </c>
      <c r="Q164" s="20" t="s">
        <v>150</v>
      </c>
      <c r="R164" s="20" t="s">
        <v>151</v>
      </c>
      <c r="S164" s="20" t="s">
        <v>152</v>
      </c>
      <c r="T164" s="20" t="s">
        <v>153</v>
      </c>
      <c r="U164" s="20" t="s">
        <v>154</v>
      </c>
      <c r="V164" s="21" t="s">
        <v>180</v>
      </c>
      <c r="W164" s="21" t="s">
        <v>1411</v>
      </c>
      <c r="X164" s="21" t="s">
        <v>1106</v>
      </c>
      <c r="Y164" s="21" t="s">
        <v>1405</v>
      </c>
      <c r="Z164" s="21" t="s">
        <v>256</v>
      </c>
      <c r="AA164" s="21" t="s">
        <v>112</v>
      </c>
      <c r="AB164" s="21" t="s">
        <v>1423</v>
      </c>
      <c r="AC164" s="21" t="s">
        <v>1424</v>
      </c>
      <c r="AD164" s="44"/>
      <c r="AE164" s="23" t="s">
        <v>115</v>
      </c>
      <c r="AF164" s="44"/>
      <c r="AG164" s="23" t="s">
        <v>116</v>
      </c>
      <c r="AH164" s="44"/>
      <c r="AI164" s="25" t="s">
        <v>117</v>
      </c>
      <c r="AJ164" s="44"/>
      <c r="AK164" s="25" t="s">
        <v>117</v>
      </c>
      <c r="AL164" s="22">
        <v>0</v>
      </c>
      <c r="AM164" s="23" t="s">
        <v>115</v>
      </c>
      <c r="AN164" s="44"/>
      <c r="AO164" s="25" t="s">
        <v>117</v>
      </c>
      <c r="AP164" s="45" t="s">
        <v>118</v>
      </c>
      <c r="AQ164" s="23" t="s">
        <v>115</v>
      </c>
      <c r="AR164" s="46"/>
      <c r="AS164" s="23" t="s">
        <v>117</v>
      </c>
      <c r="AT164" s="45" t="s">
        <v>118</v>
      </c>
      <c r="AU164" s="23" t="s">
        <v>116</v>
      </c>
      <c r="AV164" s="45" t="s">
        <v>118</v>
      </c>
      <c r="AW164" s="23" t="s">
        <v>115</v>
      </c>
      <c r="AX164" s="45" t="s">
        <v>118</v>
      </c>
      <c r="AY164" s="23" t="s">
        <v>115</v>
      </c>
      <c r="AZ164" s="45" t="s">
        <v>118</v>
      </c>
      <c r="BA164" s="23" t="s">
        <v>115</v>
      </c>
      <c r="BB164" s="46"/>
      <c r="BC164" s="23" t="s">
        <v>115</v>
      </c>
      <c r="BD164" s="45" t="s">
        <v>118</v>
      </c>
      <c r="BE164" s="23" t="s">
        <v>115</v>
      </c>
      <c r="BF164" s="45" t="s">
        <v>118</v>
      </c>
      <c r="BG164" s="23" t="s">
        <v>115</v>
      </c>
      <c r="BH164" s="46"/>
      <c r="BI164" s="25" t="s">
        <v>117</v>
      </c>
      <c r="BJ164" s="46"/>
      <c r="BK164" s="25" t="s">
        <v>117</v>
      </c>
      <c r="BL164" s="46"/>
      <c r="BM164" s="25" t="s">
        <v>117</v>
      </c>
      <c r="BN164" s="46"/>
      <c r="BO164" s="25" t="s">
        <v>117</v>
      </c>
      <c r="BP164" s="46"/>
      <c r="BQ164" s="25" t="s">
        <v>117</v>
      </c>
      <c r="BR164" s="47">
        <v>10000</v>
      </c>
      <c r="BS164" s="25" t="s">
        <v>115</v>
      </c>
      <c r="BT164" s="46"/>
      <c r="BU164" s="25" t="s">
        <v>117</v>
      </c>
      <c r="BV164" s="46"/>
      <c r="BW164" s="25" t="s">
        <v>117</v>
      </c>
      <c r="BX164" s="46"/>
      <c r="BY164" s="25" t="s">
        <v>117</v>
      </c>
      <c r="BZ164" s="46"/>
      <c r="CA164" s="25" t="s">
        <v>117</v>
      </c>
      <c r="CB164" s="45" t="s">
        <v>159</v>
      </c>
      <c r="CC164" s="25" t="s">
        <v>116</v>
      </c>
      <c r="CD164" s="46"/>
      <c r="CE164" s="25" t="s">
        <v>117</v>
      </c>
      <c r="CF164" s="46"/>
      <c r="CG164" s="25" t="s">
        <v>117</v>
      </c>
      <c r="CH164" s="151">
        <v>5000</v>
      </c>
      <c r="CI164" s="25" t="s">
        <v>116</v>
      </c>
      <c r="CJ164" s="151">
        <v>2500</v>
      </c>
      <c r="CK164" s="48" t="s">
        <v>116</v>
      </c>
      <c r="CL164" s="46">
        <v>1500</v>
      </c>
      <c r="CM164" s="48" t="s">
        <v>116</v>
      </c>
      <c r="CN164" s="46">
        <v>1500</v>
      </c>
      <c r="CO164" s="25" t="s">
        <v>116</v>
      </c>
      <c r="CP164" s="30">
        <v>400</v>
      </c>
      <c r="CQ164" s="23" t="s">
        <v>115</v>
      </c>
      <c r="CR164" s="32"/>
      <c r="CS164" s="23" t="s">
        <v>117</v>
      </c>
      <c r="CT164" s="32"/>
      <c r="CU164" s="23" t="s">
        <v>117</v>
      </c>
      <c r="CV164" s="32"/>
      <c r="CW164" s="23" t="s">
        <v>117</v>
      </c>
      <c r="CX164" s="32"/>
      <c r="CY164" s="25" t="s">
        <v>117</v>
      </c>
      <c r="CZ164" s="32"/>
      <c r="DA164" s="25" t="s">
        <v>117</v>
      </c>
      <c r="DB164" s="33" t="s">
        <v>120</v>
      </c>
      <c r="DC164" s="25" t="s">
        <v>116</v>
      </c>
      <c r="DD164" s="34">
        <f t="shared" si="36"/>
        <v>1193</v>
      </c>
      <c r="DE164" t="s">
        <v>1425</v>
      </c>
      <c r="DF164" t="str">
        <f t="shared" si="37"/>
        <v>Kazakhstan#Fund#Kazakhstan ICC</v>
      </c>
      <c r="DG164" t="b">
        <f t="shared" si="38"/>
        <v>1</v>
      </c>
    </row>
    <row r="165" spans="1:111" ht="78.75" customHeight="1" x14ac:dyDescent="0.35">
      <c r="A165" s="35" t="s">
        <v>1390</v>
      </c>
      <c r="B165" s="42" t="s">
        <v>1391</v>
      </c>
      <c r="C165" s="35" t="s">
        <v>141</v>
      </c>
      <c r="D165" s="36" t="s">
        <v>1426</v>
      </c>
      <c r="E165" s="35" t="s">
        <v>90</v>
      </c>
      <c r="F165" s="20" t="s">
        <v>171</v>
      </c>
      <c r="G165" s="20" t="s">
        <v>1427</v>
      </c>
      <c r="H165" s="20" t="s">
        <v>1394</v>
      </c>
      <c r="I165" s="20" t="s">
        <v>146</v>
      </c>
      <c r="J165" s="20" t="s">
        <v>1395</v>
      </c>
      <c r="K165" s="20" t="s">
        <v>96</v>
      </c>
      <c r="L165" s="20" t="s">
        <v>97</v>
      </c>
      <c r="M165" s="20" t="s">
        <v>98</v>
      </c>
      <c r="N165" s="20" t="s">
        <v>147</v>
      </c>
      <c r="O165" s="20" t="s">
        <v>148</v>
      </c>
      <c r="P165" s="20" t="s">
        <v>149</v>
      </c>
      <c r="Q165" s="20" t="s">
        <v>150</v>
      </c>
      <c r="R165" s="20" t="s">
        <v>151</v>
      </c>
      <c r="S165" s="20" t="s">
        <v>152</v>
      </c>
      <c r="T165" s="20" t="s">
        <v>153</v>
      </c>
      <c r="U165" s="20" t="s">
        <v>154</v>
      </c>
      <c r="V165" s="21" t="s">
        <v>267</v>
      </c>
      <c r="W165" s="21" t="s">
        <v>1411</v>
      </c>
      <c r="X165" s="21" t="s">
        <v>109</v>
      </c>
      <c r="Y165" s="21" t="s">
        <v>1428</v>
      </c>
      <c r="Z165" s="21" t="s">
        <v>256</v>
      </c>
      <c r="AA165" s="21" t="s">
        <v>1086</v>
      </c>
      <c r="AB165" s="21" t="s">
        <v>1429</v>
      </c>
      <c r="AC165" s="21" t="s">
        <v>1430</v>
      </c>
      <c r="AD165" s="38"/>
      <c r="AE165" s="23" t="s">
        <v>115</v>
      </c>
      <c r="AF165" s="38"/>
      <c r="AG165" s="23" t="s">
        <v>116</v>
      </c>
      <c r="AH165" s="38"/>
      <c r="AI165" s="25" t="s">
        <v>117</v>
      </c>
      <c r="AJ165" s="38"/>
      <c r="AK165" s="25" t="s">
        <v>117</v>
      </c>
      <c r="AL165" s="22">
        <v>0</v>
      </c>
      <c r="AM165" s="23" t="s">
        <v>115</v>
      </c>
      <c r="AN165" s="38"/>
      <c r="AO165" s="25" t="s">
        <v>117</v>
      </c>
      <c r="AP165" s="39" t="s">
        <v>118</v>
      </c>
      <c r="AQ165" s="23" t="s">
        <v>115</v>
      </c>
      <c r="AR165" s="40"/>
      <c r="AS165" s="23" t="s">
        <v>117</v>
      </c>
      <c r="AT165" s="39" t="s">
        <v>118</v>
      </c>
      <c r="AU165" s="23" t="s">
        <v>116</v>
      </c>
      <c r="AV165" s="39" t="s">
        <v>118</v>
      </c>
      <c r="AW165" s="23" t="s">
        <v>115</v>
      </c>
      <c r="AX165" s="39" t="s">
        <v>118</v>
      </c>
      <c r="AY165" s="23" t="s">
        <v>115</v>
      </c>
      <c r="AZ165" s="39" t="s">
        <v>118</v>
      </c>
      <c r="BA165" s="23" t="s">
        <v>115</v>
      </c>
      <c r="BB165" s="40"/>
      <c r="BC165" s="23" t="s">
        <v>115</v>
      </c>
      <c r="BD165" s="39" t="s">
        <v>118</v>
      </c>
      <c r="BE165" s="23" t="s">
        <v>115</v>
      </c>
      <c r="BF165" s="39" t="s">
        <v>118</v>
      </c>
      <c r="BG165" s="23" t="s">
        <v>115</v>
      </c>
      <c r="BH165" s="40"/>
      <c r="BI165" s="25" t="s">
        <v>117</v>
      </c>
      <c r="BJ165" s="40"/>
      <c r="BK165" s="25" t="s">
        <v>117</v>
      </c>
      <c r="BL165" s="40"/>
      <c r="BM165" s="25" t="s">
        <v>117</v>
      </c>
      <c r="BN165" s="40"/>
      <c r="BO165" s="25" t="s">
        <v>117</v>
      </c>
      <c r="BP165" s="40"/>
      <c r="BQ165" s="25" t="s">
        <v>117</v>
      </c>
      <c r="BR165" s="47">
        <v>10000</v>
      </c>
      <c r="BS165" s="25" t="s">
        <v>115</v>
      </c>
      <c r="BT165" s="40"/>
      <c r="BU165" s="25" t="s">
        <v>117</v>
      </c>
      <c r="BV165" s="40"/>
      <c r="BW165" s="25" t="s">
        <v>117</v>
      </c>
      <c r="BX165" s="40"/>
      <c r="BY165" s="25" t="s">
        <v>117</v>
      </c>
      <c r="BZ165" s="46"/>
      <c r="CA165" s="25" t="s">
        <v>117</v>
      </c>
      <c r="CB165" s="45" t="s">
        <v>159</v>
      </c>
      <c r="CC165" s="25" t="s">
        <v>116</v>
      </c>
      <c r="CD165" s="40"/>
      <c r="CE165" s="25" t="s">
        <v>117</v>
      </c>
      <c r="CF165" s="40"/>
      <c r="CG165" s="25" t="s">
        <v>117</v>
      </c>
      <c r="CH165" s="151">
        <v>5000</v>
      </c>
      <c r="CI165" s="25" t="s">
        <v>116</v>
      </c>
      <c r="CJ165" s="151">
        <v>2500</v>
      </c>
      <c r="CK165" s="48" t="s">
        <v>116</v>
      </c>
      <c r="CL165" s="46">
        <v>1500</v>
      </c>
      <c r="CM165" s="48" t="s">
        <v>116</v>
      </c>
      <c r="CN165" s="46">
        <v>1500</v>
      </c>
      <c r="CO165" s="25" t="s">
        <v>116</v>
      </c>
      <c r="CP165" s="30">
        <v>400</v>
      </c>
      <c r="CQ165" s="23" t="s">
        <v>115</v>
      </c>
      <c r="CR165" s="32"/>
      <c r="CS165" s="23" t="s">
        <v>117</v>
      </c>
      <c r="CT165" s="32"/>
      <c r="CU165" s="23" t="s">
        <v>117</v>
      </c>
      <c r="CV165" s="32"/>
      <c r="CW165" s="23" t="s">
        <v>117</v>
      </c>
      <c r="CX165" s="32"/>
      <c r="CY165" s="25" t="s">
        <v>117</v>
      </c>
      <c r="CZ165" s="32"/>
      <c r="DA165" s="25" t="s">
        <v>117</v>
      </c>
      <c r="DB165" s="33" t="s">
        <v>120</v>
      </c>
      <c r="DC165" s="25" t="s">
        <v>116</v>
      </c>
      <c r="DD165" s="34">
        <f t="shared" si="36"/>
        <v>1193</v>
      </c>
      <c r="DE165" t="s">
        <v>1431</v>
      </c>
      <c r="DF165" t="str">
        <f t="shared" si="37"/>
        <v>Kazakhstan#Fund#Kazakhstan Unit Trust</v>
      </c>
      <c r="DG165" t="b">
        <f t="shared" si="38"/>
        <v>1</v>
      </c>
    </row>
    <row r="166" spans="1:111" ht="78.75" hidden="1" customHeight="1" x14ac:dyDescent="0.35">
      <c r="A166" s="184" t="s">
        <v>1432</v>
      </c>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c r="AA166" s="184"/>
      <c r="AB166" s="184"/>
      <c r="AC166" s="184"/>
      <c r="AD166" s="184"/>
      <c r="AE166" s="184"/>
      <c r="AF166" s="184"/>
      <c r="AG166" s="184"/>
      <c r="AH166" s="184"/>
      <c r="AI166" s="184"/>
      <c r="AJ166" s="184"/>
      <c r="AK166" s="184"/>
      <c r="AL166" s="184"/>
      <c r="AM166" s="184"/>
      <c r="AN166" s="184"/>
      <c r="AO166" s="184"/>
      <c r="AP166" s="184"/>
      <c r="AQ166" s="184"/>
      <c r="AR166" s="184"/>
      <c r="AS166" s="184"/>
      <c r="AT166" s="184"/>
      <c r="AU166" s="184"/>
      <c r="AV166" s="184"/>
      <c r="AW166" s="184"/>
      <c r="AX166" s="184"/>
      <c r="AY166" s="184"/>
      <c r="AZ166" s="184"/>
      <c r="BA166" s="184"/>
      <c r="BB166" s="184"/>
      <c r="BC166" s="184"/>
      <c r="BD166" s="184"/>
      <c r="BE166" s="184"/>
      <c r="BF166" s="184"/>
      <c r="BG166" s="184"/>
      <c r="BH166" s="184"/>
      <c r="BI166" s="184"/>
      <c r="BJ166" s="184"/>
      <c r="BK166" s="184"/>
      <c r="BL166" s="184"/>
      <c r="BM166" s="184"/>
      <c r="BN166" s="184"/>
      <c r="BO166" s="184"/>
      <c r="BP166" s="184"/>
      <c r="BQ166" s="184"/>
      <c r="BR166" s="184"/>
      <c r="BS166" s="184"/>
      <c r="BT166" s="184"/>
      <c r="BU166" s="184"/>
      <c r="BV166" s="184"/>
      <c r="BW166" s="184"/>
      <c r="BX166" s="184"/>
      <c r="BY166" s="184"/>
      <c r="BZ166" s="184"/>
      <c r="CA166" s="184"/>
      <c r="CB166" s="184"/>
      <c r="CC166" s="184"/>
      <c r="CD166" s="184"/>
      <c r="CE166" s="184"/>
      <c r="CF166" s="184"/>
      <c r="CG166" s="184"/>
      <c r="CH166" s="184"/>
      <c r="CI166" s="184"/>
      <c r="CJ166" s="184"/>
      <c r="CK166" s="184"/>
      <c r="CL166" s="184"/>
      <c r="CM166" s="184"/>
      <c r="CN166" s="184"/>
      <c r="CO166" s="184"/>
      <c r="CP166" s="184"/>
      <c r="CQ166" s="184"/>
      <c r="CR166" s="184"/>
      <c r="CS166" s="184"/>
      <c r="CT166" s="184"/>
      <c r="CU166" s="184"/>
      <c r="CV166" s="184"/>
      <c r="CW166" s="184"/>
      <c r="CX166" s="184"/>
      <c r="CY166" s="184"/>
      <c r="CZ166" s="184"/>
      <c r="DA166" s="184"/>
      <c r="DB166" s="184"/>
      <c r="DC166" s="184"/>
      <c r="DE166" t="s">
        <v>85</v>
      </c>
      <c r="DF166" t="str">
        <f>A154&amp;"#"&amp;C154&amp;"#"&amp;D154</f>
        <v>India#Fund#India AIF</v>
      </c>
    </row>
    <row r="167" spans="1:111" ht="71.25" hidden="1" customHeight="1" x14ac:dyDescent="0.35">
      <c r="A167" s="72" t="s">
        <v>1433</v>
      </c>
      <c r="B167" s="72" t="s">
        <v>1434</v>
      </c>
      <c r="C167" s="72" t="s">
        <v>88</v>
      </c>
      <c r="D167" s="73" t="s">
        <v>1435</v>
      </c>
      <c r="E167" s="72" t="s">
        <v>817</v>
      </c>
      <c r="F167" s="20" t="s">
        <v>1436</v>
      </c>
      <c r="G167" s="20" t="s">
        <v>1437</v>
      </c>
      <c r="H167" s="20" t="s">
        <v>93</v>
      </c>
      <c r="I167" s="20" t="s">
        <v>94</v>
      </c>
      <c r="J167" s="20" t="s">
        <v>1438</v>
      </c>
      <c r="K167" s="20" t="s">
        <v>96</v>
      </c>
      <c r="L167" s="20" t="s">
        <v>97</v>
      </c>
      <c r="M167" s="20" t="s">
        <v>98</v>
      </c>
      <c r="N167" s="20" t="s">
        <v>1439</v>
      </c>
      <c r="O167" s="20" t="s">
        <v>100</v>
      </c>
      <c r="P167" s="20" t="s">
        <v>101</v>
      </c>
      <c r="Q167" s="20" t="s">
        <v>102</v>
      </c>
      <c r="R167" s="20" t="s">
        <v>103</v>
      </c>
      <c r="S167" s="20" t="s">
        <v>104</v>
      </c>
      <c r="T167" s="20" t="s">
        <v>105</v>
      </c>
      <c r="U167" s="20" t="s">
        <v>106</v>
      </c>
      <c r="V167" s="21" t="s">
        <v>243</v>
      </c>
      <c r="W167" s="21" t="s">
        <v>203</v>
      </c>
      <c r="X167" s="21" t="s">
        <v>109</v>
      </c>
      <c r="Y167" s="21" t="s">
        <v>1440</v>
      </c>
      <c r="Z167" s="21" t="s">
        <v>256</v>
      </c>
      <c r="AA167" s="21" t="s">
        <v>112</v>
      </c>
      <c r="AB167" s="21" t="s">
        <v>1441</v>
      </c>
      <c r="AC167" s="21" t="s">
        <v>1442</v>
      </c>
      <c r="AD167" s="61">
        <v>1750</v>
      </c>
      <c r="AE167" s="23" t="s">
        <v>115</v>
      </c>
      <c r="AF167" s="74"/>
      <c r="AG167" s="23" t="s">
        <v>116</v>
      </c>
      <c r="AH167" s="74"/>
      <c r="AI167" s="25" t="s">
        <v>117</v>
      </c>
      <c r="AJ167" s="74"/>
      <c r="AK167" s="25" t="s">
        <v>117</v>
      </c>
      <c r="AL167" s="22">
        <v>0</v>
      </c>
      <c r="AM167" s="23" t="s">
        <v>115</v>
      </c>
      <c r="AN167" s="74"/>
      <c r="AO167" s="25" t="s">
        <v>117</v>
      </c>
      <c r="AP167" s="58" t="s">
        <v>118</v>
      </c>
      <c r="AQ167" s="23" t="s">
        <v>115</v>
      </c>
      <c r="AR167" s="75"/>
      <c r="AS167" s="23" t="s">
        <v>117</v>
      </c>
      <c r="AT167" s="61">
        <v>4000</v>
      </c>
      <c r="AU167" s="23" t="s">
        <v>116</v>
      </c>
      <c r="AV167" s="61">
        <v>950</v>
      </c>
      <c r="AW167" s="23" t="s">
        <v>115</v>
      </c>
      <c r="AX167" s="61">
        <v>1700</v>
      </c>
      <c r="AY167" s="23" t="s">
        <v>115</v>
      </c>
      <c r="AZ167" s="58" t="s">
        <v>118</v>
      </c>
      <c r="BA167" s="23" t="s">
        <v>115</v>
      </c>
      <c r="BB167" s="75"/>
      <c r="BC167" s="23" t="s">
        <v>115</v>
      </c>
      <c r="BD167" s="58" t="s">
        <v>118</v>
      </c>
      <c r="BE167" s="23" t="s">
        <v>115</v>
      </c>
      <c r="BF167" s="58" t="s">
        <v>118</v>
      </c>
      <c r="BG167" s="23" t="s">
        <v>115</v>
      </c>
      <c r="BH167" s="75"/>
      <c r="BI167" s="25" t="s">
        <v>117</v>
      </c>
      <c r="BJ167" s="75"/>
      <c r="BK167" s="25" t="s">
        <v>117</v>
      </c>
      <c r="BL167" s="75"/>
      <c r="BM167" s="25" t="s">
        <v>117</v>
      </c>
      <c r="BN167" s="75"/>
      <c r="BO167" s="25" t="s">
        <v>117</v>
      </c>
      <c r="BP167" s="75"/>
      <c r="BQ167" s="25" t="s">
        <v>117</v>
      </c>
      <c r="BR167" s="75"/>
      <c r="BS167" s="25" t="s">
        <v>117</v>
      </c>
      <c r="BT167" s="75"/>
      <c r="BU167" s="25" t="s">
        <v>117</v>
      </c>
      <c r="BV167" s="75"/>
      <c r="BW167" s="25" t="s">
        <v>117</v>
      </c>
      <c r="BX167" s="75"/>
      <c r="BY167" s="25" t="s">
        <v>117</v>
      </c>
      <c r="BZ167" s="75"/>
      <c r="CA167" s="25" t="s">
        <v>117</v>
      </c>
      <c r="CB167" s="75"/>
      <c r="CC167" s="25" t="s">
        <v>117</v>
      </c>
      <c r="CD167" s="75"/>
      <c r="CE167" s="25" t="s">
        <v>117</v>
      </c>
      <c r="CF167" s="75"/>
      <c r="CG167" s="25" t="s">
        <v>117</v>
      </c>
      <c r="CH167" s="75"/>
      <c r="CI167" s="25"/>
      <c r="CJ167" s="75"/>
      <c r="CK167" s="62" t="s">
        <v>117</v>
      </c>
      <c r="CL167" s="75"/>
      <c r="CM167" s="62" t="s">
        <v>117</v>
      </c>
      <c r="CN167" s="75"/>
      <c r="CO167" s="25" t="s">
        <v>117</v>
      </c>
      <c r="CP167" s="30">
        <v>400</v>
      </c>
      <c r="CQ167" s="23" t="s">
        <v>115</v>
      </c>
      <c r="CR167" s="32"/>
      <c r="CS167" s="23" t="s">
        <v>117</v>
      </c>
      <c r="CT167" s="32"/>
      <c r="CU167" s="23" t="s">
        <v>117</v>
      </c>
      <c r="CV167" s="32"/>
      <c r="CW167" s="23" t="s">
        <v>117</v>
      </c>
      <c r="CX167" s="32"/>
      <c r="CY167" s="25" t="s">
        <v>117</v>
      </c>
      <c r="CZ167" s="32"/>
      <c r="DA167" s="25" t="s">
        <v>117</v>
      </c>
      <c r="DB167" s="33" t="s">
        <v>120</v>
      </c>
      <c r="DC167" s="25" t="s">
        <v>116</v>
      </c>
      <c r="DD167" s="34">
        <f>ROUND(0.075*SUM(AD167,AF167,AH167,AJ167,AL167,AN167,AP167,AR167,AT167,AV167,AX167,AZ167,BB167,BR167,BT167,BV167,BX167,BZ167,CB167,CD167,CF167,CJ167,CL167,CN167,CP167,CR167,CT167,CV167,CX167,CZ167),0)</f>
        <v>660</v>
      </c>
      <c r="DE167" t="s">
        <v>1443</v>
      </c>
      <c r="DF167" t="str">
        <f>A167&amp;"#"&amp;C167&amp;"#"&amp;D167</f>
        <v>Lithuania#Company#Lithuania UAB</v>
      </c>
      <c r="DG167" t="b">
        <f>DE167=DF167</f>
        <v>1</v>
      </c>
    </row>
    <row r="168" spans="1:111" ht="60.75" hidden="1" customHeight="1" x14ac:dyDescent="0.35">
      <c r="A168" s="184" t="s">
        <v>1444</v>
      </c>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c r="AA168" s="184"/>
      <c r="AB168" s="184"/>
      <c r="AC168" s="184"/>
      <c r="AD168" s="184"/>
      <c r="AE168" s="184"/>
      <c r="AF168" s="184"/>
      <c r="AG168" s="184"/>
      <c r="AH168" s="184"/>
      <c r="AI168" s="184"/>
      <c r="AJ168" s="184"/>
      <c r="AK168" s="184"/>
      <c r="AL168" s="184"/>
      <c r="AM168" s="184"/>
      <c r="AN168" s="184"/>
      <c r="AO168" s="184"/>
      <c r="AP168" s="184"/>
      <c r="AQ168" s="184"/>
      <c r="AR168" s="184"/>
      <c r="AS168" s="184"/>
      <c r="AT168" s="184"/>
      <c r="AU168" s="184"/>
      <c r="AV168" s="184"/>
      <c r="AW168" s="184"/>
      <c r="AX168" s="184"/>
      <c r="AY168" s="184"/>
      <c r="AZ168" s="184"/>
      <c r="BA168" s="184"/>
      <c r="BB168" s="184"/>
      <c r="BC168" s="184"/>
      <c r="BD168" s="184"/>
      <c r="BE168" s="184"/>
      <c r="BF168" s="184"/>
      <c r="BG168" s="184"/>
      <c r="BH168" s="184"/>
      <c r="BI168" s="184"/>
      <c r="BJ168" s="184"/>
      <c r="BK168" s="184"/>
      <c r="BL168" s="184"/>
      <c r="BM168" s="184"/>
      <c r="BN168" s="184"/>
      <c r="BO168" s="184"/>
      <c r="BP168" s="184"/>
      <c r="BQ168" s="184"/>
      <c r="BR168" s="184"/>
      <c r="BS168" s="184"/>
      <c r="BT168" s="184"/>
      <c r="BU168" s="184"/>
      <c r="BV168" s="184"/>
      <c r="BW168" s="184"/>
      <c r="BX168" s="184"/>
      <c r="BY168" s="184"/>
      <c r="BZ168" s="184"/>
      <c r="CA168" s="184"/>
      <c r="CB168" s="184"/>
      <c r="CC168" s="184"/>
      <c r="CD168" s="184"/>
      <c r="CE168" s="184"/>
      <c r="CF168" s="184"/>
      <c r="CG168" s="184"/>
      <c r="CH168" s="184"/>
      <c r="CI168" s="184"/>
      <c r="CJ168" s="184"/>
      <c r="CK168" s="184"/>
      <c r="CL168" s="184"/>
      <c r="CM168" s="184"/>
      <c r="CN168" s="184"/>
      <c r="CO168" s="184"/>
      <c r="CP168" s="184"/>
      <c r="CQ168" s="184"/>
      <c r="CR168" s="184"/>
      <c r="CS168" s="184"/>
      <c r="CT168" s="184"/>
      <c r="CU168" s="184"/>
      <c r="CV168" s="184"/>
      <c r="CW168" s="184"/>
      <c r="CX168" s="184"/>
      <c r="CY168" s="184"/>
      <c r="CZ168" s="184"/>
      <c r="DA168" s="184"/>
      <c r="DB168" s="184"/>
      <c r="DC168" s="184"/>
      <c r="DE168" t="s">
        <v>85</v>
      </c>
      <c r="DF168" t="str">
        <f>A156&amp;"#"&amp;C156&amp;"#"&amp;D156</f>
        <v>India#Trust#India Will</v>
      </c>
    </row>
    <row r="169" spans="1:111" ht="15" hidden="1" customHeight="1" x14ac:dyDescent="0.35">
      <c r="A169" s="72" t="s">
        <v>1445</v>
      </c>
      <c r="B169" s="18" t="s">
        <v>1446</v>
      </c>
      <c r="C169" s="72" t="s">
        <v>88</v>
      </c>
      <c r="D169" s="73" t="s">
        <v>1447</v>
      </c>
      <c r="E169" s="72" t="s">
        <v>817</v>
      </c>
      <c r="F169" s="20" t="s">
        <v>596</v>
      </c>
      <c r="G169" s="20" t="s">
        <v>1448</v>
      </c>
      <c r="H169" s="20" t="s">
        <v>1160</v>
      </c>
      <c r="I169" s="20" t="s">
        <v>1161</v>
      </c>
      <c r="J169" s="20" t="s">
        <v>1449</v>
      </c>
      <c r="K169" s="20" t="s">
        <v>96</v>
      </c>
      <c r="L169" s="20" t="s">
        <v>97</v>
      </c>
      <c r="M169" s="20" t="s">
        <v>98</v>
      </c>
      <c r="N169" s="20" t="s">
        <v>1450</v>
      </c>
      <c r="O169" s="20" t="s">
        <v>100</v>
      </c>
      <c r="P169" s="20" t="s">
        <v>101</v>
      </c>
      <c r="Q169" s="20" t="s">
        <v>102</v>
      </c>
      <c r="R169" s="20" t="s">
        <v>103</v>
      </c>
      <c r="S169" s="20" t="s">
        <v>104</v>
      </c>
      <c r="T169" s="20" t="s">
        <v>105</v>
      </c>
      <c r="U169" s="20" t="s">
        <v>106</v>
      </c>
      <c r="V169" s="21" t="s">
        <v>243</v>
      </c>
      <c r="W169" s="21" t="s">
        <v>203</v>
      </c>
      <c r="X169" s="21" t="s">
        <v>109</v>
      </c>
      <c r="Y169" s="21" t="s">
        <v>1451</v>
      </c>
      <c r="Z169" s="21" t="s">
        <v>256</v>
      </c>
      <c r="AA169" s="21" t="s">
        <v>112</v>
      </c>
      <c r="AB169" s="21" t="s">
        <v>1452</v>
      </c>
      <c r="AC169" s="21" t="s">
        <v>1453</v>
      </c>
      <c r="AD169" s="61">
        <v>6455</v>
      </c>
      <c r="AE169" s="23" t="s">
        <v>115</v>
      </c>
      <c r="AF169" s="74"/>
      <c r="AG169" s="23" t="s">
        <v>116</v>
      </c>
      <c r="AH169" s="74"/>
      <c r="AI169" s="25" t="s">
        <v>117</v>
      </c>
      <c r="AJ169" s="26">
        <v>300</v>
      </c>
      <c r="AK169" s="25" t="s">
        <v>115</v>
      </c>
      <c r="AL169" s="22">
        <v>0</v>
      </c>
      <c r="AM169" s="23" t="s">
        <v>115</v>
      </c>
      <c r="AN169" s="26">
        <v>1000</v>
      </c>
      <c r="AO169" s="25" t="s">
        <v>116</v>
      </c>
      <c r="AP169" s="58" t="s">
        <v>118</v>
      </c>
      <c r="AQ169" s="23" t="s">
        <v>115</v>
      </c>
      <c r="AR169" s="75"/>
      <c r="AS169" s="23" t="s">
        <v>117</v>
      </c>
      <c r="AT169" s="61">
        <v>2550</v>
      </c>
      <c r="AU169" s="23" t="s">
        <v>116</v>
      </c>
      <c r="AV169" s="61">
        <v>1960</v>
      </c>
      <c r="AW169" s="23" t="s">
        <v>115</v>
      </c>
      <c r="AX169" s="58" t="s">
        <v>118</v>
      </c>
      <c r="AY169" s="23" t="s">
        <v>115</v>
      </c>
      <c r="AZ169" s="61">
        <v>350</v>
      </c>
      <c r="BA169" s="23" t="s">
        <v>115</v>
      </c>
      <c r="BB169" s="74"/>
      <c r="BC169" s="23" t="s">
        <v>115</v>
      </c>
      <c r="BD169" s="58" t="s">
        <v>118</v>
      </c>
      <c r="BE169" s="23" t="s">
        <v>115</v>
      </c>
      <c r="BF169" s="61">
        <v>1600</v>
      </c>
      <c r="BG169" s="23" t="s">
        <v>115</v>
      </c>
      <c r="BH169" s="74"/>
      <c r="BI169" s="25" t="s">
        <v>117</v>
      </c>
      <c r="BJ169" s="26">
        <v>1000</v>
      </c>
      <c r="BK169" s="25" t="s">
        <v>116</v>
      </c>
      <c r="BL169" s="74"/>
      <c r="BM169" s="25" t="s">
        <v>117</v>
      </c>
      <c r="BN169" s="74"/>
      <c r="BO169" s="25" t="s">
        <v>117</v>
      </c>
      <c r="BP169" s="74"/>
      <c r="BQ169" s="25" t="s">
        <v>117</v>
      </c>
      <c r="BR169" s="74"/>
      <c r="BS169" s="25" t="s">
        <v>117</v>
      </c>
      <c r="BT169" s="74"/>
      <c r="BU169" s="25" t="s">
        <v>117</v>
      </c>
      <c r="BV169" s="74"/>
      <c r="BW169" s="25" t="s">
        <v>117</v>
      </c>
      <c r="BX169" s="74"/>
      <c r="BY169" s="25" t="s">
        <v>117</v>
      </c>
      <c r="BZ169" s="74"/>
      <c r="CA169" s="25" t="s">
        <v>117</v>
      </c>
      <c r="CB169" s="74"/>
      <c r="CC169" s="25" t="s">
        <v>117</v>
      </c>
      <c r="CD169" s="74"/>
      <c r="CE169" s="25" t="s">
        <v>117</v>
      </c>
      <c r="CF169" s="74"/>
      <c r="CG169" s="25" t="s">
        <v>117</v>
      </c>
      <c r="CH169" s="74"/>
      <c r="CI169" s="25"/>
      <c r="CJ169" s="74"/>
      <c r="CK169" s="62" t="s">
        <v>117</v>
      </c>
      <c r="CL169" s="74"/>
      <c r="CM169" s="62" t="s">
        <v>117</v>
      </c>
      <c r="CN169" s="74"/>
      <c r="CO169" s="25" t="s">
        <v>117</v>
      </c>
      <c r="CP169" s="30">
        <v>400</v>
      </c>
      <c r="CQ169" s="23" t="s">
        <v>115</v>
      </c>
      <c r="CR169" s="32"/>
      <c r="CS169" s="23" t="s">
        <v>117</v>
      </c>
      <c r="CT169" s="32"/>
      <c r="CU169" s="23" t="s">
        <v>117</v>
      </c>
      <c r="CV169" s="32"/>
      <c r="CW169" s="23" t="s">
        <v>117</v>
      </c>
      <c r="CX169" s="32"/>
      <c r="CY169" s="25" t="s">
        <v>117</v>
      </c>
      <c r="CZ169" s="32"/>
      <c r="DA169" s="25" t="s">
        <v>117</v>
      </c>
      <c r="DB169" s="33" t="s">
        <v>1454</v>
      </c>
      <c r="DC169" s="25" t="s">
        <v>116</v>
      </c>
      <c r="DD169" s="34">
        <f t="shared" ref="DD169:DD180" si="39">ROUND(0.075*SUM(AD169,AF169,AH169,AJ169,AL169,AN169,AP169,AR169,AT169,AV169,AX169,AZ169,BB169,BR169,BT169,BV169,BX169,BZ169,CB169,CD169,CF169,CJ169,CL169,CN169,CP169,CR169,CT169,CV169,CX169,CZ169),0)</f>
        <v>976</v>
      </c>
      <c r="DE169" t="s">
        <v>1455</v>
      </c>
      <c r="DF169" t="str">
        <f t="shared" ref="DF169:DF180" si="40">A169&amp;"#"&amp;C169&amp;"#"&amp;D169</f>
        <v>Luxembourg#Company#Luxembourg SA</v>
      </c>
      <c r="DG169" t="b">
        <f t="shared" ref="DG169:DG180" si="41">DE169=DF169</f>
        <v>1</v>
      </c>
    </row>
    <row r="170" spans="1:111" ht="132.75" hidden="1" customHeight="1" x14ac:dyDescent="0.35">
      <c r="A170" s="18" t="s">
        <v>1445</v>
      </c>
      <c r="B170" s="18" t="s">
        <v>1446</v>
      </c>
      <c r="C170" s="18" t="s">
        <v>88</v>
      </c>
      <c r="D170" s="19" t="s">
        <v>1456</v>
      </c>
      <c r="E170" s="18" t="s">
        <v>817</v>
      </c>
      <c r="F170" s="20" t="s">
        <v>1457</v>
      </c>
      <c r="G170" s="20" t="s">
        <v>1458</v>
      </c>
      <c r="H170" s="20" t="s">
        <v>1160</v>
      </c>
      <c r="I170" s="20" t="s">
        <v>1161</v>
      </c>
      <c r="J170" s="20" t="s">
        <v>1449</v>
      </c>
      <c r="K170" s="20" t="s">
        <v>96</v>
      </c>
      <c r="L170" s="20" t="s">
        <v>97</v>
      </c>
      <c r="M170" s="20" t="s">
        <v>98</v>
      </c>
      <c r="N170" s="20" t="s">
        <v>1450</v>
      </c>
      <c r="O170" s="20" t="s">
        <v>100</v>
      </c>
      <c r="P170" s="20" t="s">
        <v>101</v>
      </c>
      <c r="Q170" s="20" t="s">
        <v>102</v>
      </c>
      <c r="R170" s="20" t="s">
        <v>103</v>
      </c>
      <c r="S170" s="20" t="s">
        <v>104</v>
      </c>
      <c r="T170" s="20" t="s">
        <v>105</v>
      </c>
      <c r="U170" s="20" t="s">
        <v>106</v>
      </c>
      <c r="V170" s="21" t="s">
        <v>243</v>
      </c>
      <c r="W170" s="21" t="s">
        <v>203</v>
      </c>
      <c r="X170" s="21" t="s">
        <v>109</v>
      </c>
      <c r="Y170" s="21" t="s">
        <v>1459</v>
      </c>
      <c r="Z170" s="21" t="s">
        <v>256</v>
      </c>
      <c r="AA170" s="21" t="s">
        <v>112</v>
      </c>
      <c r="AB170" s="21" t="s">
        <v>1460</v>
      </c>
      <c r="AC170" s="21" t="s">
        <v>1461</v>
      </c>
      <c r="AD170" s="22">
        <v>6455</v>
      </c>
      <c r="AE170" s="23" t="s">
        <v>115</v>
      </c>
      <c r="AF170" s="24"/>
      <c r="AG170" s="23" t="s">
        <v>116</v>
      </c>
      <c r="AH170" s="24"/>
      <c r="AI170" s="25" t="s">
        <v>117</v>
      </c>
      <c r="AJ170" s="26">
        <v>300</v>
      </c>
      <c r="AK170" s="25" t="s">
        <v>115</v>
      </c>
      <c r="AL170" s="22">
        <v>0</v>
      </c>
      <c r="AM170" s="23" t="s">
        <v>115</v>
      </c>
      <c r="AN170" s="26">
        <v>1000</v>
      </c>
      <c r="AO170" s="25" t="s">
        <v>116</v>
      </c>
      <c r="AP170" s="27" t="s">
        <v>118</v>
      </c>
      <c r="AQ170" s="23" t="s">
        <v>115</v>
      </c>
      <c r="AR170" s="28"/>
      <c r="AS170" s="23" t="s">
        <v>117</v>
      </c>
      <c r="AT170" s="22">
        <v>2550</v>
      </c>
      <c r="AU170" s="23" t="s">
        <v>116</v>
      </c>
      <c r="AV170" s="22">
        <v>1960</v>
      </c>
      <c r="AW170" s="23" t="s">
        <v>115</v>
      </c>
      <c r="AX170" s="27" t="s">
        <v>118</v>
      </c>
      <c r="AY170" s="23" t="s">
        <v>115</v>
      </c>
      <c r="AZ170" s="22">
        <v>350</v>
      </c>
      <c r="BA170" s="23" t="s">
        <v>115</v>
      </c>
      <c r="BB170" s="24"/>
      <c r="BC170" s="23" t="s">
        <v>115</v>
      </c>
      <c r="BD170" s="27" t="s">
        <v>118</v>
      </c>
      <c r="BE170" s="23" t="s">
        <v>115</v>
      </c>
      <c r="BF170" s="22">
        <v>1600</v>
      </c>
      <c r="BG170" s="23" t="s">
        <v>115</v>
      </c>
      <c r="BH170" s="24"/>
      <c r="BI170" s="25" t="s">
        <v>117</v>
      </c>
      <c r="BJ170" s="26">
        <v>1000</v>
      </c>
      <c r="BK170" s="25" t="s">
        <v>116</v>
      </c>
      <c r="BL170" s="24"/>
      <c r="BM170" s="25" t="s">
        <v>117</v>
      </c>
      <c r="BN170" s="24"/>
      <c r="BO170" s="25" t="s">
        <v>117</v>
      </c>
      <c r="BP170" s="24"/>
      <c r="BQ170" s="25" t="s">
        <v>117</v>
      </c>
      <c r="BR170" s="24"/>
      <c r="BS170" s="25" t="s">
        <v>117</v>
      </c>
      <c r="BT170" s="24"/>
      <c r="BU170" s="25" t="s">
        <v>117</v>
      </c>
      <c r="BV170" s="24"/>
      <c r="BW170" s="25" t="s">
        <v>117</v>
      </c>
      <c r="BX170" s="24"/>
      <c r="BY170" s="25" t="s">
        <v>117</v>
      </c>
      <c r="BZ170" s="24"/>
      <c r="CA170" s="25" t="s">
        <v>117</v>
      </c>
      <c r="CB170" s="24"/>
      <c r="CC170" s="25" t="s">
        <v>117</v>
      </c>
      <c r="CD170" s="24"/>
      <c r="CE170" s="25" t="s">
        <v>117</v>
      </c>
      <c r="CF170" s="24"/>
      <c r="CG170" s="25" t="s">
        <v>117</v>
      </c>
      <c r="CH170" s="24"/>
      <c r="CI170" s="25"/>
      <c r="CJ170" s="24"/>
      <c r="CK170" s="29" t="s">
        <v>117</v>
      </c>
      <c r="CL170" s="24"/>
      <c r="CM170" s="29" t="s">
        <v>117</v>
      </c>
      <c r="CN170" s="24"/>
      <c r="CO170" s="25" t="s">
        <v>117</v>
      </c>
      <c r="CP170" s="30">
        <v>400</v>
      </c>
      <c r="CQ170" s="23" t="s">
        <v>115</v>
      </c>
      <c r="CR170" s="32"/>
      <c r="CS170" s="23" t="s">
        <v>117</v>
      </c>
      <c r="CT170" s="32"/>
      <c r="CU170" s="23" t="s">
        <v>117</v>
      </c>
      <c r="CV170" s="32"/>
      <c r="CW170" s="23" t="s">
        <v>117</v>
      </c>
      <c r="CX170" s="32"/>
      <c r="CY170" s="25" t="s">
        <v>117</v>
      </c>
      <c r="CZ170" s="32"/>
      <c r="DA170" s="25" t="s">
        <v>117</v>
      </c>
      <c r="DB170" s="33" t="s">
        <v>1454</v>
      </c>
      <c r="DC170" s="25" t="s">
        <v>116</v>
      </c>
      <c r="DD170" s="34">
        <f t="shared" si="39"/>
        <v>976</v>
      </c>
      <c r="DE170" t="s">
        <v>1462</v>
      </c>
      <c r="DF170" t="str">
        <f t="shared" si="40"/>
        <v>Luxembourg#Company#Luxembourg Sarl</v>
      </c>
      <c r="DG170" t="b">
        <f t="shared" si="41"/>
        <v>1</v>
      </c>
    </row>
    <row r="171" spans="1:111" ht="78.75" hidden="1" customHeight="1" x14ac:dyDescent="0.35">
      <c r="A171" s="72" t="s">
        <v>1445</v>
      </c>
      <c r="B171" s="18" t="s">
        <v>1446</v>
      </c>
      <c r="C171" s="72" t="s">
        <v>88</v>
      </c>
      <c r="D171" s="73" t="s">
        <v>1463</v>
      </c>
      <c r="E171" s="72" t="s">
        <v>817</v>
      </c>
      <c r="F171" s="20" t="s">
        <v>1464</v>
      </c>
      <c r="G171" s="20" t="s">
        <v>1465</v>
      </c>
      <c r="H171" s="20" t="s">
        <v>1160</v>
      </c>
      <c r="I171" s="20" t="s">
        <v>1161</v>
      </c>
      <c r="J171" s="20" t="s">
        <v>1449</v>
      </c>
      <c r="K171" s="20" t="s">
        <v>96</v>
      </c>
      <c r="L171" s="20" t="s">
        <v>97</v>
      </c>
      <c r="M171" s="20" t="s">
        <v>98</v>
      </c>
      <c r="N171" s="20" t="s">
        <v>1450</v>
      </c>
      <c r="O171" s="20" t="s">
        <v>100</v>
      </c>
      <c r="P171" s="20" t="s">
        <v>101</v>
      </c>
      <c r="Q171" s="20" t="s">
        <v>102</v>
      </c>
      <c r="R171" s="20" t="s">
        <v>103</v>
      </c>
      <c r="S171" s="20" t="s">
        <v>104</v>
      </c>
      <c r="T171" s="20" t="s">
        <v>105</v>
      </c>
      <c r="U171" s="20" t="s">
        <v>106</v>
      </c>
      <c r="V171" s="21" t="s">
        <v>474</v>
      </c>
      <c r="W171" s="21" t="s">
        <v>203</v>
      </c>
      <c r="X171" s="21" t="s">
        <v>1466</v>
      </c>
      <c r="Y171" s="21" t="s">
        <v>1467</v>
      </c>
      <c r="Z171" s="21" t="s">
        <v>256</v>
      </c>
      <c r="AA171" s="21" t="s">
        <v>1468</v>
      </c>
      <c r="AB171" s="21" t="s">
        <v>1469</v>
      </c>
      <c r="AC171" s="21" t="s">
        <v>1470</v>
      </c>
      <c r="AD171" s="61">
        <v>6455</v>
      </c>
      <c r="AE171" s="23" t="s">
        <v>115</v>
      </c>
      <c r="AF171" s="74"/>
      <c r="AG171" s="23" t="s">
        <v>116</v>
      </c>
      <c r="AH171" s="74"/>
      <c r="AI171" s="25" t="s">
        <v>117</v>
      </c>
      <c r="AJ171" s="26">
        <v>300</v>
      </c>
      <c r="AK171" s="25" t="s">
        <v>115</v>
      </c>
      <c r="AL171" s="22">
        <v>0</v>
      </c>
      <c r="AM171" s="23" t="s">
        <v>115</v>
      </c>
      <c r="AN171" s="26">
        <v>1000</v>
      </c>
      <c r="AO171" s="25" t="s">
        <v>116</v>
      </c>
      <c r="AP171" s="58" t="s">
        <v>118</v>
      </c>
      <c r="AQ171" s="23" t="s">
        <v>115</v>
      </c>
      <c r="AR171" s="75"/>
      <c r="AS171" s="23" t="s">
        <v>117</v>
      </c>
      <c r="AT171" s="61">
        <v>2550</v>
      </c>
      <c r="AU171" s="23" t="s">
        <v>116</v>
      </c>
      <c r="AV171" s="61">
        <v>1960</v>
      </c>
      <c r="AW171" s="23" t="s">
        <v>115</v>
      </c>
      <c r="AX171" s="58" t="s">
        <v>118</v>
      </c>
      <c r="AY171" s="23" t="s">
        <v>115</v>
      </c>
      <c r="AZ171" s="61">
        <v>350</v>
      </c>
      <c r="BA171" s="23" t="s">
        <v>115</v>
      </c>
      <c r="BB171" s="74"/>
      <c r="BC171" s="23" t="s">
        <v>115</v>
      </c>
      <c r="BD171" s="58" t="s">
        <v>118</v>
      </c>
      <c r="BE171" s="23" t="s">
        <v>115</v>
      </c>
      <c r="BF171" s="61">
        <v>1600</v>
      </c>
      <c r="BG171" s="23" t="s">
        <v>115</v>
      </c>
      <c r="BH171" s="74"/>
      <c r="BI171" s="25" t="s">
        <v>117</v>
      </c>
      <c r="BJ171" s="26">
        <v>1000</v>
      </c>
      <c r="BK171" s="25" t="s">
        <v>116</v>
      </c>
      <c r="BL171" s="74"/>
      <c r="BM171" s="25" t="s">
        <v>117</v>
      </c>
      <c r="BN171" s="74"/>
      <c r="BO171" s="25" t="s">
        <v>117</v>
      </c>
      <c r="BP171" s="74"/>
      <c r="BQ171" s="25" t="s">
        <v>117</v>
      </c>
      <c r="BR171" s="74"/>
      <c r="BS171" s="25" t="s">
        <v>117</v>
      </c>
      <c r="BT171" s="74"/>
      <c r="BU171" s="25" t="s">
        <v>117</v>
      </c>
      <c r="BV171" s="74"/>
      <c r="BW171" s="25" t="s">
        <v>117</v>
      </c>
      <c r="BX171" s="74"/>
      <c r="BY171" s="25" t="s">
        <v>117</v>
      </c>
      <c r="BZ171" s="74"/>
      <c r="CA171" s="25" t="s">
        <v>117</v>
      </c>
      <c r="CB171" s="74"/>
      <c r="CC171" s="25" t="s">
        <v>117</v>
      </c>
      <c r="CD171" s="74"/>
      <c r="CE171" s="25" t="s">
        <v>117</v>
      </c>
      <c r="CF171" s="74"/>
      <c r="CG171" s="25" t="s">
        <v>117</v>
      </c>
      <c r="CH171" s="74"/>
      <c r="CI171" s="25"/>
      <c r="CJ171" s="74"/>
      <c r="CK171" s="62" t="s">
        <v>117</v>
      </c>
      <c r="CL171" s="74"/>
      <c r="CM171" s="62" t="s">
        <v>117</v>
      </c>
      <c r="CN171" s="74"/>
      <c r="CO171" s="25" t="s">
        <v>117</v>
      </c>
      <c r="CP171" s="30">
        <v>400</v>
      </c>
      <c r="CQ171" s="23" t="s">
        <v>115</v>
      </c>
      <c r="CR171" s="32"/>
      <c r="CS171" s="23" t="s">
        <v>117</v>
      </c>
      <c r="CT171" s="32"/>
      <c r="CU171" s="23" t="s">
        <v>117</v>
      </c>
      <c r="CV171" s="32"/>
      <c r="CW171" s="23" t="s">
        <v>117</v>
      </c>
      <c r="CX171" s="32"/>
      <c r="CY171" s="25" t="s">
        <v>117</v>
      </c>
      <c r="CZ171" s="32"/>
      <c r="DA171" s="25" t="s">
        <v>117</v>
      </c>
      <c r="DB171" s="33" t="s">
        <v>1454</v>
      </c>
      <c r="DC171" s="25" t="s">
        <v>116</v>
      </c>
      <c r="DD171" s="34">
        <f t="shared" si="39"/>
        <v>976</v>
      </c>
      <c r="DE171" t="s">
        <v>1471</v>
      </c>
      <c r="DF171" t="str">
        <f t="shared" si="40"/>
        <v>Luxembourg#Company#Luxembourg SCA</v>
      </c>
      <c r="DG171" t="b">
        <f t="shared" si="41"/>
        <v>1</v>
      </c>
    </row>
    <row r="172" spans="1:111" ht="78.75" hidden="1" customHeight="1" x14ac:dyDescent="0.35">
      <c r="A172" s="18" t="s">
        <v>1445</v>
      </c>
      <c r="B172" s="18" t="s">
        <v>1446</v>
      </c>
      <c r="C172" s="18" t="s">
        <v>88</v>
      </c>
      <c r="D172" s="19" t="s">
        <v>1472</v>
      </c>
      <c r="E172" s="18" t="s">
        <v>817</v>
      </c>
      <c r="F172" s="20" t="s">
        <v>1473</v>
      </c>
      <c r="G172" s="20" t="s">
        <v>1474</v>
      </c>
      <c r="H172" s="20" t="s">
        <v>1160</v>
      </c>
      <c r="I172" s="20" t="s">
        <v>1161</v>
      </c>
      <c r="J172" s="20" t="s">
        <v>1449</v>
      </c>
      <c r="K172" s="20" t="s">
        <v>96</v>
      </c>
      <c r="L172" s="20" t="s">
        <v>97</v>
      </c>
      <c r="M172" s="20" t="s">
        <v>98</v>
      </c>
      <c r="N172" s="20" t="s">
        <v>1450</v>
      </c>
      <c r="O172" s="20" t="s">
        <v>100</v>
      </c>
      <c r="P172" s="20" t="s">
        <v>101</v>
      </c>
      <c r="Q172" s="20" t="s">
        <v>102</v>
      </c>
      <c r="R172" s="20" t="s">
        <v>103</v>
      </c>
      <c r="S172" s="20" t="s">
        <v>104</v>
      </c>
      <c r="T172" s="20" t="s">
        <v>105</v>
      </c>
      <c r="U172" s="20" t="s">
        <v>106</v>
      </c>
      <c r="V172" s="21" t="s">
        <v>474</v>
      </c>
      <c r="W172" s="21" t="s">
        <v>203</v>
      </c>
      <c r="X172" s="21" t="s">
        <v>1475</v>
      </c>
      <c r="Y172" s="21" t="s">
        <v>1476</v>
      </c>
      <c r="Z172" s="21" t="s">
        <v>1477</v>
      </c>
      <c r="AA172" s="21" t="s">
        <v>166</v>
      </c>
      <c r="AB172" s="21" t="s">
        <v>1478</v>
      </c>
      <c r="AC172" s="21" t="s">
        <v>1479</v>
      </c>
      <c r="AD172" s="22">
        <v>6455</v>
      </c>
      <c r="AE172" s="23" t="s">
        <v>115</v>
      </c>
      <c r="AF172" s="24"/>
      <c r="AG172" s="23" t="s">
        <v>116</v>
      </c>
      <c r="AH172" s="24"/>
      <c r="AI172" s="25" t="s">
        <v>117</v>
      </c>
      <c r="AJ172" s="26">
        <v>300</v>
      </c>
      <c r="AK172" s="25" t="s">
        <v>115</v>
      </c>
      <c r="AL172" s="22">
        <v>0</v>
      </c>
      <c r="AM172" s="23" t="s">
        <v>115</v>
      </c>
      <c r="AN172" s="26">
        <v>1000</v>
      </c>
      <c r="AO172" s="25" t="s">
        <v>116</v>
      </c>
      <c r="AP172" s="27" t="s">
        <v>118</v>
      </c>
      <c r="AQ172" s="23" t="s">
        <v>115</v>
      </c>
      <c r="AR172" s="28"/>
      <c r="AS172" s="23" t="s">
        <v>117</v>
      </c>
      <c r="AT172" s="22">
        <v>2550</v>
      </c>
      <c r="AU172" s="23" t="s">
        <v>116</v>
      </c>
      <c r="AV172" s="22">
        <v>1960</v>
      </c>
      <c r="AW172" s="23" t="s">
        <v>115</v>
      </c>
      <c r="AX172" s="27" t="s">
        <v>118</v>
      </c>
      <c r="AY172" s="23" t="s">
        <v>115</v>
      </c>
      <c r="AZ172" s="22">
        <v>350</v>
      </c>
      <c r="BA172" s="23" t="s">
        <v>115</v>
      </c>
      <c r="BB172" s="24"/>
      <c r="BC172" s="23" t="s">
        <v>115</v>
      </c>
      <c r="BD172" s="27" t="s">
        <v>118</v>
      </c>
      <c r="BE172" s="23" t="s">
        <v>115</v>
      </c>
      <c r="BF172" s="22">
        <v>1600</v>
      </c>
      <c r="BG172" s="23" t="s">
        <v>115</v>
      </c>
      <c r="BH172" s="24"/>
      <c r="BI172" s="25" t="s">
        <v>117</v>
      </c>
      <c r="BJ172" s="26">
        <v>1000</v>
      </c>
      <c r="BK172" s="25" t="s">
        <v>116</v>
      </c>
      <c r="BL172" s="24"/>
      <c r="BM172" s="25" t="s">
        <v>117</v>
      </c>
      <c r="BN172" s="24"/>
      <c r="BO172" s="25" t="s">
        <v>117</v>
      </c>
      <c r="BP172" s="24"/>
      <c r="BQ172" s="25" t="s">
        <v>117</v>
      </c>
      <c r="BR172" s="24"/>
      <c r="BS172" s="25" t="s">
        <v>117</v>
      </c>
      <c r="BT172" s="24"/>
      <c r="BU172" s="25" t="s">
        <v>117</v>
      </c>
      <c r="BV172" s="24"/>
      <c r="BW172" s="25" t="s">
        <v>117</v>
      </c>
      <c r="BX172" s="24"/>
      <c r="BY172" s="25" t="s">
        <v>117</v>
      </c>
      <c r="BZ172" s="24"/>
      <c r="CA172" s="25" t="s">
        <v>117</v>
      </c>
      <c r="CB172" s="24"/>
      <c r="CC172" s="25" t="s">
        <v>117</v>
      </c>
      <c r="CD172" s="24"/>
      <c r="CE172" s="25" t="s">
        <v>117</v>
      </c>
      <c r="CF172" s="24"/>
      <c r="CG172" s="25" t="s">
        <v>117</v>
      </c>
      <c r="CH172" s="24"/>
      <c r="CI172" s="25"/>
      <c r="CJ172" s="24"/>
      <c r="CK172" s="29" t="s">
        <v>117</v>
      </c>
      <c r="CL172" s="24"/>
      <c r="CM172" s="29" t="s">
        <v>117</v>
      </c>
      <c r="CN172" s="24"/>
      <c r="CO172" s="25" t="s">
        <v>117</v>
      </c>
      <c r="CP172" s="30">
        <v>400</v>
      </c>
      <c r="CQ172" s="23" t="s">
        <v>115</v>
      </c>
      <c r="CR172" s="32"/>
      <c r="CS172" s="23" t="s">
        <v>117</v>
      </c>
      <c r="CT172" s="32"/>
      <c r="CU172" s="23" t="s">
        <v>117</v>
      </c>
      <c r="CV172" s="32"/>
      <c r="CW172" s="23" t="s">
        <v>117</v>
      </c>
      <c r="CX172" s="32"/>
      <c r="CY172" s="25" t="s">
        <v>117</v>
      </c>
      <c r="CZ172" s="32"/>
      <c r="DA172" s="25" t="s">
        <v>117</v>
      </c>
      <c r="DB172" s="33" t="s">
        <v>1454</v>
      </c>
      <c r="DC172" s="25" t="s">
        <v>116</v>
      </c>
      <c r="DD172" s="34">
        <f t="shared" si="39"/>
        <v>976</v>
      </c>
      <c r="DE172" t="s">
        <v>1480</v>
      </c>
      <c r="DF172" t="str">
        <f t="shared" si="40"/>
        <v>Luxembourg#Company#Luxembourg SCSP</v>
      </c>
      <c r="DG172" t="b">
        <f t="shared" si="41"/>
        <v>1</v>
      </c>
    </row>
    <row r="173" spans="1:111" ht="78.75" customHeight="1" x14ac:dyDescent="0.35">
      <c r="A173" s="72" t="s">
        <v>1445</v>
      </c>
      <c r="B173" s="18" t="s">
        <v>1446</v>
      </c>
      <c r="C173" s="72" t="s">
        <v>141</v>
      </c>
      <c r="D173" s="73" t="s">
        <v>1447</v>
      </c>
      <c r="E173" s="72" t="s">
        <v>817</v>
      </c>
      <c r="F173" s="20" t="s">
        <v>596</v>
      </c>
      <c r="G173" s="20" t="s">
        <v>1481</v>
      </c>
      <c r="H173" s="20" t="s">
        <v>1482</v>
      </c>
      <c r="I173" s="20" t="s">
        <v>146</v>
      </c>
      <c r="J173" s="20" t="s">
        <v>1449</v>
      </c>
      <c r="K173" s="20" t="s">
        <v>96</v>
      </c>
      <c r="L173" s="20" t="s">
        <v>97</v>
      </c>
      <c r="M173" s="20" t="s">
        <v>98</v>
      </c>
      <c r="N173" s="20" t="s">
        <v>147</v>
      </c>
      <c r="O173" s="20" t="s">
        <v>148</v>
      </c>
      <c r="P173" s="20" t="s">
        <v>149</v>
      </c>
      <c r="Q173" s="20" t="s">
        <v>150</v>
      </c>
      <c r="R173" s="20" t="s">
        <v>151</v>
      </c>
      <c r="S173" s="20" t="s">
        <v>152</v>
      </c>
      <c r="T173" s="20" t="s">
        <v>153</v>
      </c>
      <c r="U173" s="20" t="s">
        <v>154</v>
      </c>
      <c r="V173" s="21" t="s">
        <v>267</v>
      </c>
      <c r="W173" s="21" t="s">
        <v>203</v>
      </c>
      <c r="X173" s="21" t="s">
        <v>109</v>
      </c>
      <c r="Y173" s="21" t="s">
        <v>1483</v>
      </c>
      <c r="Z173" s="21" t="s">
        <v>256</v>
      </c>
      <c r="AA173" s="21" t="s">
        <v>112</v>
      </c>
      <c r="AB173" s="21" t="s">
        <v>1484</v>
      </c>
      <c r="AC173" s="21" t="s">
        <v>1485</v>
      </c>
      <c r="AE173" s="23" t="s">
        <v>115</v>
      </c>
      <c r="AF173" s="74"/>
      <c r="AG173" s="23" t="s">
        <v>116</v>
      </c>
      <c r="AH173" s="74"/>
      <c r="AI173" s="25" t="s">
        <v>117</v>
      </c>
      <c r="AJ173" s="74"/>
      <c r="AK173" s="25"/>
      <c r="AL173" s="22">
        <v>0</v>
      </c>
      <c r="AM173" s="23" t="s">
        <v>115</v>
      </c>
      <c r="AN173" s="74"/>
      <c r="AO173" s="25" t="s">
        <v>117</v>
      </c>
      <c r="AP173" s="58" t="s">
        <v>118</v>
      </c>
      <c r="AQ173" s="23" t="s">
        <v>115</v>
      </c>
      <c r="AR173" s="75"/>
      <c r="AS173" s="23" t="s">
        <v>117</v>
      </c>
      <c r="AT173" s="61">
        <v>2550</v>
      </c>
      <c r="AU173" s="23" t="s">
        <v>116</v>
      </c>
      <c r="AV173" s="61">
        <v>1960</v>
      </c>
      <c r="AW173" s="23" t="s">
        <v>115</v>
      </c>
      <c r="AX173" s="58" t="s">
        <v>118</v>
      </c>
      <c r="AY173" s="23" t="s">
        <v>115</v>
      </c>
      <c r="AZ173" s="61">
        <v>350</v>
      </c>
      <c r="BA173" s="23" t="s">
        <v>115</v>
      </c>
      <c r="BB173" s="74"/>
      <c r="BC173" s="23" t="s">
        <v>115</v>
      </c>
      <c r="BD173" s="58" t="s">
        <v>118</v>
      </c>
      <c r="BE173" s="23" t="s">
        <v>115</v>
      </c>
      <c r="BF173" s="61">
        <v>1600</v>
      </c>
      <c r="BG173" s="23" t="s">
        <v>115</v>
      </c>
      <c r="BH173" s="74"/>
      <c r="BI173" s="25" t="s">
        <v>117</v>
      </c>
      <c r="BJ173" s="74"/>
      <c r="BK173" s="25" t="s">
        <v>117</v>
      </c>
      <c r="BL173" s="74"/>
      <c r="BM173" s="25" t="s">
        <v>117</v>
      </c>
      <c r="BN173" s="74"/>
      <c r="BO173" s="25" t="s">
        <v>117</v>
      </c>
      <c r="BP173" s="74"/>
      <c r="BQ173" s="25" t="s">
        <v>117</v>
      </c>
      <c r="BR173" s="61">
        <v>6455</v>
      </c>
      <c r="BS173" s="25" t="s">
        <v>115</v>
      </c>
      <c r="BT173" s="74"/>
      <c r="BU173" s="25" t="s">
        <v>117</v>
      </c>
      <c r="BV173" s="74"/>
      <c r="BW173" s="25" t="s">
        <v>117</v>
      </c>
      <c r="BX173" s="74"/>
      <c r="BY173" s="25" t="s">
        <v>117</v>
      </c>
      <c r="BZ173" s="46"/>
      <c r="CA173" s="25" t="s">
        <v>117</v>
      </c>
      <c r="CB173" s="45" t="s">
        <v>159</v>
      </c>
      <c r="CC173" s="25" t="s">
        <v>116</v>
      </c>
      <c r="CD173" s="74"/>
      <c r="CE173" s="25" t="s">
        <v>117</v>
      </c>
      <c r="CF173" s="74"/>
      <c r="CG173" s="25" t="s">
        <v>117</v>
      </c>
      <c r="CH173" s="151">
        <v>5000</v>
      </c>
      <c r="CI173" s="25" t="s">
        <v>116</v>
      </c>
      <c r="CJ173" s="151">
        <v>2500</v>
      </c>
      <c r="CK173" s="48" t="s">
        <v>116</v>
      </c>
      <c r="CL173" s="46">
        <v>1500</v>
      </c>
      <c r="CM173" s="48" t="s">
        <v>116</v>
      </c>
      <c r="CN173" s="46">
        <v>1500</v>
      </c>
      <c r="CO173" s="25" t="s">
        <v>116</v>
      </c>
      <c r="CP173" s="30">
        <v>400</v>
      </c>
      <c r="CQ173" s="23" t="s">
        <v>115</v>
      </c>
      <c r="CR173" s="32"/>
      <c r="CS173" s="23" t="s">
        <v>117</v>
      </c>
      <c r="CT173" s="32"/>
      <c r="CU173" s="23" t="s">
        <v>117</v>
      </c>
      <c r="CV173" s="32"/>
      <c r="CW173" s="23" t="s">
        <v>117</v>
      </c>
      <c r="CX173" s="32"/>
      <c r="CY173" s="25" t="s">
        <v>117</v>
      </c>
      <c r="CZ173" s="32"/>
      <c r="DA173" s="25" t="s">
        <v>117</v>
      </c>
      <c r="DB173" s="33" t="s">
        <v>1454</v>
      </c>
      <c r="DC173" s="25" t="s">
        <v>116</v>
      </c>
      <c r="DD173" s="34">
        <f t="shared" si="39"/>
        <v>1291</v>
      </c>
      <c r="DE173" t="s">
        <v>1486</v>
      </c>
      <c r="DF173" t="str">
        <f t="shared" si="40"/>
        <v>Luxembourg#Fund#Luxembourg SA</v>
      </c>
      <c r="DG173" t="b">
        <f t="shared" si="41"/>
        <v>1</v>
      </c>
    </row>
    <row r="174" spans="1:111" ht="78.75" customHeight="1" x14ac:dyDescent="0.35">
      <c r="A174" s="18" t="s">
        <v>1445</v>
      </c>
      <c r="B174" s="18" t="s">
        <v>1446</v>
      </c>
      <c r="C174" s="18" t="s">
        <v>141</v>
      </c>
      <c r="D174" s="19" t="s">
        <v>1463</v>
      </c>
      <c r="E174" s="18" t="s">
        <v>817</v>
      </c>
      <c r="F174" s="20" t="s">
        <v>1464</v>
      </c>
      <c r="G174" s="20" t="s">
        <v>1487</v>
      </c>
      <c r="H174" s="20" t="s">
        <v>1482</v>
      </c>
      <c r="I174" s="20" t="s">
        <v>146</v>
      </c>
      <c r="J174" s="20" t="s">
        <v>1449</v>
      </c>
      <c r="K174" s="20" t="s">
        <v>96</v>
      </c>
      <c r="L174" s="20" t="s">
        <v>97</v>
      </c>
      <c r="M174" s="20" t="s">
        <v>98</v>
      </c>
      <c r="N174" s="20" t="s">
        <v>147</v>
      </c>
      <c r="O174" s="20" t="s">
        <v>148</v>
      </c>
      <c r="P174" s="20" t="s">
        <v>149</v>
      </c>
      <c r="Q174" s="20" t="s">
        <v>150</v>
      </c>
      <c r="R174" s="20" t="s">
        <v>151</v>
      </c>
      <c r="S174" s="20" t="s">
        <v>152</v>
      </c>
      <c r="T174" s="20" t="s">
        <v>153</v>
      </c>
      <c r="U174" s="20" t="s">
        <v>154</v>
      </c>
      <c r="V174" s="21" t="s">
        <v>292</v>
      </c>
      <c r="W174" s="21" t="s">
        <v>203</v>
      </c>
      <c r="X174" s="21" t="s">
        <v>164</v>
      </c>
      <c r="Y174" s="21" t="s">
        <v>1488</v>
      </c>
      <c r="Z174" s="21" t="s">
        <v>256</v>
      </c>
      <c r="AA174" s="21" t="s">
        <v>1489</v>
      </c>
      <c r="AB174" s="21" t="s">
        <v>1490</v>
      </c>
      <c r="AC174" s="21" t="s">
        <v>1491</v>
      </c>
      <c r="AE174" s="23" t="s">
        <v>115</v>
      </c>
      <c r="AF174" s="24"/>
      <c r="AG174" s="23" t="s">
        <v>116</v>
      </c>
      <c r="AH174" s="24"/>
      <c r="AI174" s="25" t="s">
        <v>117</v>
      </c>
      <c r="AJ174" s="24"/>
      <c r="AK174" s="25" t="s">
        <v>117</v>
      </c>
      <c r="AL174" s="22">
        <v>0</v>
      </c>
      <c r="AM174" s="23" t="s">
        <v>115</v>
      </c>
      <c r="AN174" s="24"/>
      <c r="AO174" s="25" t="s">
        <v>117</v>
      </c>
      <c r="AP174" s="27" t="s">
        <v>118</v>
      </c>
      <c r="AQ174" s="23" t="s">
        <v>115</v>
      </c>
      <c r="AR174" s="28"/>
      <c r="AS174" s="23" t="s">
        <v>117</v>
      </c>
      <c r="AT174" s="22">
        <v>2550</v>
      </c>
      <c r="AU174" s="23" t="s">
        <v>116</v>
      </c>
      <c r="AV174" s="22">
        <v>1960</v>
      </c>
      <c r="AW174" s="23" t="s">
        <v>115</v>
      </c>
      <c r="AX174" s="27" t="s">
        <v>118</v>
      </c>
      <c r="AY174" s="23" t="s">
        <v>115</v>
      </c>
      <c r="AZ174" s="22">
        <v>350</v>
      </c>
      <c r="BA174" s="23" t="s">
        <v>115</v>
      </c>
      <c r="BB174" s="24"/>
      <c r="BC174" s="23" t="s">
        <v>115</v>
      </c>
      <c r="BD174" s="27" t="s">
        <v>118</v>
      </c>
      <c r="BE174" s="23" t="s">
        <v>115</v>
      </c>
      <c r="BF174" s="22">
        <v>1600</v>
      </c>
      <c r="BG174" s="23" t="s">
        <v>115</v>
      </c>
      <c r="BH174" s="24"/>
      <c r="BI174" s="25" t="s">
        <v>117</v>
      </c>
      <c r="BJ174" s="24"/>
      <c r="BK174" s="25" t="s">
        <v>117</v>
      </c>
      <c r="BL174" s="24"/>
      <c r="BM174" s="25" t="s">
        <v>117</v>
      </c>
      <c r="BN174" s="24"/>
      <c r="BO174" s="25" t="s">
        <v>117</v>
      </c>
      <c r="BP174" s="24"/>
      <c r="BQ174" s="25" t="s">
        <v>117</v>
      </c>
      <c r="BR174" s="22">
        <v>6455</v>
      </c>
      <c r="BS174" s="25" t="s">
        <v>115</v>
      </c>
      <c r="BT174" s="24"/>
      <c r="BU174" s="25" t="s">
        <v>117</v>
      </c>
      <c r="BV174" s="24"/>
      <c r="BW174" s="25" t="s">
        <v>117</v>
      </c>
      <c r="BX174" s="24"/>
      <c r="BY174" s="25" t="s">
        <v>117</v>
      </c>
      <c r="BZ174" s="46"/>
      <c r="CA174" s="25" t="s">
        <v>117</v>
      </c>
      <c r="CB174" s="45" t="s">
        <v>159</v>
      </c>
      <c r="CC174" s="25" t="s">
        <v>116</v>
      </c>
      <c r="CD174" s="24"/>
      <c r="CE174" s="25" t="s">
        <v>117</v>
      </c>
      <c r="CF174" s="24"/>
      <c r="CG174" s="25" t="s">
        <v>117</v>
      </c>
      <c r="CH174" s="151">
        <v>5000</v>
      </c>
      <c r="CI174" s="25" t="s">
        <v>116</v>
      </c>
      <c r="CJ174" s="151">
        <v>2500</v>
      </c>
      <c r="CK174" s="48" t="s">
        <v>116</v>
      </c>
      <c r="CL174" s="46">
        <v>1500</v>
      </c>
      <c r="CM174" s="48" t="s">
        <v>116</v>
      </c>
      <c r="CN174" s="46">
        <v>1500</v>
      </c>
      <c r="CO174" s="25" t="s">
        <v>116</v>
      </c>
      <c r="CP174" s="30">
        <v>400</v>
      </c>
      <c r="CQ174" s="23" t="s">
        <v>115</v>
      </c>
      <c r="CR174" s="32"/>
      <c r="CS174" s="23" t="s">
        <v>117</v>
      </c>
      <c r="CT174" s="32"/>
      <c r="CU174" s="23" t="s">
        <v>117</v>
      </c>
      <c r="CV174" s="32"/>
      <c r="CW174" s="23" t="s">
        <v>117</v>
      </c>
      <c r="CX174" s="32"/>
      <c r="CY174" s="25" t="s">
        <v>117</v>
      </c>
      <c r="CZ174" s="32"/>
      <c r="DA174" s="25" t="s">
        <v>117</v>
      </c>
      <c r="DB174" s="33" t="s">
        <v>1454</v>
      </c>
      <c r="DC174" s="25" t="s">
        <v>116</v>
      </c>
      <c r="DD174" s="34">
        <f t="shared" si="39"/>
        <v>1291</v>
      </c>
      <c r="DE174" t="s">
        <v>1492</v>
      </c>
      <c r="DF174" t="str">
        <f t="shared" si="40"/>
        <v>Luxembourg#Fund#Luxembourg SCA</v>
      </c>
      <c r="DG174" t="b">
        <f t="shared" si="41"/>
        <v>1</v>
      </c>
    </row>
    <row r="175" spans="1:111" ht="78.75" customHeight="1" x14ac:dyDescent="0.35">
      <c r="A175" s="72" t="s">
        <v>1445</v>
      </c>
      <c r="B175" s="18" t="s">
        <v>1446</v>
      </c>
      <c r="C175" s="72" t="s">
        <v>141</v>
      </c>
      <c r="D175" s="73" t="s">
        <v>1456</v>
      </c>
      <c r="E175" s="72" t="s">
        <v>817</v>
      </c>
      <c r="F175" s="20" t="s">
        <v>1457</v>
      </c>
      <c r="G175" s="20" t="s">
        <v>1493</v>
      </c>
      <c r="H175" s="20" t="s">
        <v>1482</v>
      </c>
      <c r="I175" s="20" t="s">
        <v>146</v>
      </c>
      <c r="J175" s="20" t="s">
        <v>1449</v>
      </c>
      <c r="K175" s="20" t="s">
        <v>96</v>
      </c>
      <c r="L175" s="20" t="s">
        <v>97</v>
      </c>
      <c r="M175" s="20" t="s">
        <v>98</v>
      </c>
      <c r="N175" s="20" t="s">
        <v>147</v>
      </c>
      <c r="O175" s="20" t="s">
        <v>148</v>
      </c>
      <c r="P175" s="20" t="s">
        <v>149</v>
      </c>
      <c r="Q175" s="20" t="s">
        <v>150</v>
      </c>
      <c r="R175" s="20" t="s">
        <v>151</v>
      </c>
      <c r="S175" s="20" t="s">
        <v>152</v>
      </c>
      <c r="T175" s="20" t="s">
        <v>153</v>
      </c>
      <c r="U175" s="20" t="s">
        <v>154</v>
      </c>
      <c r="V175" s="21" t="s">
        <v>292</v>
      </c>
      <c r="W175" s="21" t="s">
        <v>203</v>
      </c>
      <c r="X175" s="21" t="s">
        <v>109</v>
      </c>
      <c r="Y175" s="21" t="s">
        <v>1494</v>
      </c>
      <c r="Z175" s="21" t="s">
        <v>256</v>
      </c>
      <c r="AA175" s="21" t="s">
        <v>112</v>
      </c>
      <c r="AB175" s="21" t="s">
        <v>1495</v>
      </c>
      <c r="AC175" s="21" t="s">
        <v>1496</v>
      </c>
      <c r="AE175" s="23" t="s">
        <v>115</v>
      </c>
      <c r="AF175" s="74"/>
      <c r="AG175" s="23" t="s">
        <v>116</v>
      </c>
      <c r="AH175" s="74"/>
      <c r="AI175" s="25" t="s">
        <v>117</v>
      </c>
      <c r="AJ175" s="74"/>
      <c r="AK175" s="25" t="s">
        <v>117</v>
      </c>
      <c r="AL175" s="22">
        <v>0</v>
      </c>
      <c r="AM175" s="23" t="s">
        <v>115</v>
      </c>
      <c r="AN175" s="74"/>
      <c r="AO175" s="25" t="s">
        <v>117</v>
      </c>
      <c r="AP175" s="58" t="s">
        <v>118</v>
      </c>
      <c r="AQ175" s="23" t="s">
        <v>115</v>
      </c>
      <c r="AR175" s="75"/>
      <c r="AS175" s="23" t="s">
        <v>117</v>
      </c>
      <c r="AT175" s="61">
        <v>2550</v>
      </c>
      <c r="AU175" s="23" t="s">
        <v>116</v>
      </c>
      <c r="AV175" s="61">
        <v>1960</v>
      </c>
      <c r="AW175" s="23" t="s">
        <v>115</v>
      </c>
      <c r="AX175" s="58" t="s">
        <v>118</v>
      </c>
      <c r="AY175" s="23" t="s">
        <v>115</v>
      </c>
      <c r="AZ175" s="61">
        <v>350</v>
      </c>
      <c r="BA175" s="23" t="s">
        <v>115</v>
      </c>
      <c r="BB175" s="74"/>
      <c r="BC175" s="23" t="s">
        <v>115</v>
      </c>
      <c r="BD175" s="58" t="s">
        <v>118</v>
      </c>
      <c r="BE175" s="23" t="s">
        <v>115</v>
      </c>
      <c r="BF175" s="61">
        <v>1600</v>
      </c>
      <c r="BG175" s="23" t="s">
        <v>115</v>
      </c>
      <c r="BH175" s="74"/>
      <c r="BI175" s="25" t="s">
        <v>117</v>
      </c>
      <c r="BJ175" s="74"/>
      <c r="BK175" s="25" t="s">
        <v>117</v>
      </c>
      <c r="BL175" s="74"/>
      <c r="BM175" s="25" t="s">
        <v>117</v>
      </c>
      <c r="BN175" s="74"/>
      <c r="BO175" s="25" t="s">
        <v>117</v>
      </c>
      <c r="BP175" s="74"/>
      <c r="BQ175" s="25" t="s">
        <v>117</v>
      </c>
      <c r="BR175" s="61">
        <v>6455</v>
      </c>
      <c r="BS175" s="25" t="s">
        <v>115</v>
      </c>
      <c r="BT175" s="74"/>
      <c r="BU175" s="25" t="s">
        <v>117</v>
      </c>
      <c r="BV175" s="74"/>
      <c r="BW175" s="25" t="s">
        <v>117</v>
      </c>
      <c r="BX175" s="74"/>
      <c r="BY175" s="25" t="s">
        <v>117</v>
      </c>
      <c r="BZ175" s="46"/>
      <c r="CA175" s="25" t="s">
        <v>117</v>
      </c>
      <c r="CB175" s="45" t="s">
        <v>159</v>
      </c>
      <c r="CC175" s="25" t="s">
        <v>116</v>
      </c>
      <c r="CD175" s="74"/>
      <c r="CE175" s="25" t="s">
        <v>117</v>
      </c>
      <c r="CF175" s="74"/>
      <c r="CG175" s="25" t="s">
        <v>117</v>
      </c>
      <c r="CH175" s="151">
        <v>5000</v>
      </c>
      <c r="CI175" s="25" t="s">
        <v>116</v>
      </c>
      <c r="CJ175" s="151">
        <v>2500</v>
      </c>
      <c r="CK175" s="48" t="s">
        <v>116</v>
      </c>
      <c r="CL175" s="46">
        <v>1500</v>
      </c>
      <c r="CM175" s="48" t="s">
        <v>116</v>
      </c>
      <c r="CN175" s="46">
        <v>1500</v>
      </c>
      <c r="CO175" s="25" t="s">
        <v>116</v>
      </c>
      <c r="CP175" s="30">
        <v>400</v>
      </c>
      <c r="CQ175" s="23" t="s">
        <v>115</v>
      </c>
      <c r="CR175" s="32"/>
      <c r="CS175" s="23" t="s">
        <v>117</v>
      </c>
      <c r="CT175" s="32"/>
      <c r="CU175" s="23" t="s">
        <v>117</v>
      </c>
      <c r="CV175" s="32"/>
      <c r="CW175" s="23" t="s">
        <v>117</v>
      </c>
      <c r="CX175" s="32"/>
      <c r="CY175" s="25" t="s">
        <v>117</v>
      </c>
      <c r="CZ175" s="32"/>
      <c r="DA175" s="25" t="s">
        <v>117</v>
      </c>
      <c r="DB175" s="33" t="s">
        <v>1454</v>
      </c>
      <c r="DC175" s="25" t="s">
        <v>116</v>
      </c>
      <c r="DD175" s="34">
        <f t="shared" si="39"/>
        <v>1291</v>
      </c>
      <c r="DE175" t="s">
        <v>1497</v>
      </c>
      <c r="DF175" t="str">
        <f t="shared" si="40"/>
        <v>Luxembourg#Fund#Luxembourg Sarl</v>
      </c>
      <c r="DG175" t="b">
        <f t="shared" si="41"/>
        <v>1</v>
      </c>
    </row>
    <row r="176" spans="1:111" ht="78.75" customHeight="1" x14ac:dyDescent="0.35">
      <c r="A176" s="42" t="s">
        <v>1445</v>
      </c>
      <c r="B176" s="18" t="s">
        <v>1446</v>
      </c>
      <c r="C176" s="42" t="s">
        <v>141</v>
      </c>
      <c r="D176" s="43" t="s">
        <v>1498</v>
      </c>
      <c r="E176" s="42" t="s">
        <v>90</v>
      </c>
      <c r="F176" s="20" t="s">
        <v>1499</v>
      </c>
      <c r="G176" s="20" t="s">
        <v>1500</v>
      </c>
      <c r="H176" s="20" t="s">
        <v>1482</v>
      </c>
      <c r="I176" s="20" t="s">
        <v>146</v>
      </c>
      <c r="J176" s="20" t="s">
        <v>1449</v>
      </c>
      <c r="K176" s="20" t="s">
        <v>96</v>
      </c>
      <c r="L176" s="20" t="s">
        <v>97</v>
      </c>
      <c r="M176" s="20" t="s">
        <v>98</v>
      </c>
      <c r="N176" s="20" t="s">
        <v>147</v>
      </c>
      <c r="O176" s="20" t="s">
        <v>148</v>
      </c>
      <c r="P176" s="20" t="s">
        <v>149</v>
      </c>
      <c r="Q176" s="20" t="s">
        <v>150</v>
      </c>
      <c r="R176" s="20" t="s">
        <v>151</v>
      </c>
      <c r="S176" s="20" t="s">
        <v>152</v>
      </c>
      <c r="T176" s="20" t="s">
        <v>153</v>
      </c>
      <c r="U176" s="20" t="s">
        <v>154</v>
      </c>
      <c r="V176" s="21" t="s">
        <v>292</v>
      </c>
      <c r="W176" s="21" t="s">
        <v>203</v>
      </c>
      <c r="X176" s="21" t="s">
        <v>1501</v>
      </c>
      <c r="Y176" s="21" t="s">
        <v>1502</v>
      </c>
      <c r="Z176" s="21" t="s">
        <v>256</v>
      </c>
      <c r="AA176" s="21" t="s">
        <v>166</v>
      </c>
      <c r="AB176" s="21" t="s">
        <v>1503</v>
      </c>
      <c r="AC176" s="21" t="s">
        <v>1504</v>
      </c>
      <c r="AD176" s="44"/>
      <c r="AE176" s="23" t="s">
        <v>115</v>
      </c>
      <c r="AF176" s="44"/>
      <c r="AG176" s="23" t="s">
        <v>116</v>
      </c>
      <c r="AH176" s="44"/>
      <c r="AI176" s="25" t="s">
        <v>117</v>
      </c>
      <c r="AJ176" s="44"/>
      <c r="AK176" s="25" t="s">
        <v>117</v>
      </c>
      <c r="AL176" s="22">
        <v>0</v>
      </c>
      <c r="AM176" s="23" t="s">
        <v>115</v>
      </c>
      <c r="AN176" s="44"/>
      <c r="AO176" s="25" t="s">
        <v>117</v>
      </c>
      <c r="AP176" s="45" t="s">
        <v>118</v>
      </c>
      <c r="AQ176" s="23" t="s">
        <v>115</v>
      </c>
      <c r="AR176" s="46"/>
      <c r="AS176" s="23" t="s">
        <v>117</v>
      </c>
      <c r="AT176" s="45" t="s">
        <v>118</v>
      </c>
      <c r="AU176" s="23" t="s">
        <v>116</v>
      </c>
      <c r="AV176" s="45" t="s">
        <v>118</v>
      </c>
      <c r="AW176" s="23" t="s">
        <v>115</v>
      </c>
      <c r="AX176" s="45" t="s">
        <v>118</v>
      </c>
      <c r="AY176" s="23" t="s">
        <v>115</v>
      </c>
      <c r="AZ176" s="45" t="s">
        <v>118</v>
      </c>
      <c r="BA176" s="23" t="s">
        <v>115</v>
      </c>
      <c r="BB176" s="46"/>
      <c r="BC176" s="23" t="s">
        <v>115</v>
      </c>
      <c r="BD176" s="45" t="s">
        <v>118</v>
      </c>
      <c r="BE176" s="23" t="s">
        <v>115</v>
      </c>
      <c r="BF176" s="45" t="s">
        <v>118</v>
      </c>
      <c r="BG176" s="23" t="s">
        <v>115</v>
      </c>
      <c r="BH176" s="46"/>
      <c r="BI176" s="25" t="s">
        <v>117</v>
      </c>
      <c r="BJ176" s="46"/>
      <c r="BK176" s="25" t="s">
        <v>117</v>
      </c>
      <c r="BL176" s="46"/>
      <c r="BM176" s="25" t="s">
        <v>117</v>
      </c>
      <c r="BN176" s="46"/>
      <c r="BO176" s="25" t="s">
        <v>117</v>
      </c>
      <c r="BP176" s="46"/>
      <c r="BQ176" s="25" t="s">
        <v>117</v>
      </c>
      <c r="BR176" s="47">
        <v>35000</v>
      </c>
      <c r="BS176" s="25" t="s">
        <v>115</v>
      </c>
      <c r="BT176" s="46"/>
      <c r="BU176" s="25" t="s">
        <v>117</v>
      </c>
      <c r="BV176" s="46"/>
      <c r="BW176" s="25" t="s">
        <v>117</v>
      </c>
      <c r="BX176" s="46"/>
      <c r="BY176" s="25" t="s">
        <v>117</v>
      </c>
      <c r="BZ176" s="46"/>
      <c r="CA176" s="25" t="s">
        <v>117</v>
      </c>
      <c r="CB176" s="45" t="s">
        <v>159</v>
      </c>
      <c r="CC176" s="25" t="s">
        <v>116</v>
      </c>
      <c r="CD176" s="46"/>
      <c r="CE176" s="25" t="s">
        <v>117</v>
      </c>
      <c r="CF176" s="46"/>
      <c r="CG176" s="25" t="s">
        <v>117</v>
      </c>
      <c r="CH176" s="151">
        <v>5000</v>
      </c>
      <c r="CI176" s="25" t="s">
        <v>116</v>
      </c>
      <c r="CJ176" s="151">
        <v>2500</v>
      </c>
      <c r="CK176" s="48" t="s">
        <v>116</v>
      </c>
      <c r="CL176" s="46">
        <v>1500</v>
      </c>
      <c r="CM176" s="48" t="s">
        <v>116</v>
      </c>
      <c r="CN176" s="46">
        <v>1500</v>
      </c>
      <c r="CO176" s="25" t="s">
        <v>116</v>
      </c>
      <c r="CP176" s="30">
        <v>400</v>
      </c>
      <c r="CQ176" s="23" t="s">
        <v>115</v>
      </c>
      <c r="CR176" s="32"/>
      <c r="CS176" s="23" t="s">
        <v>117</v>
      </c>
      <c r="CT176" s="32"/>
      <c r="CU176" s="23" t="s">
        <v>117</v>
      </c>
      <c r="CV176" s="32"/>
      <c r="CW176" s="23" t="s">
        <v>117</v>
      </c>
      <c r="CX176" s="32"/>
      <c r="CY176" s="25" t="s">
        <v>117</v>
      </c>
      <c r="CZ176" s="32"/>
      <c r="DA176" s="25" t="s">
        <v>117</v>
      </c>
      <c r="DB176" s="33" t="s">
        <v>120</v>
      </c>
      <c r="DC176" s="25" t="s">
        <v>116</v>
      </c>
      <c r="DD176" s="34">
        <f t="shared" si="39"/>
        <v>3068</v>
      </c>
      <c r="DE176" t="s">
        <v>1505</v>
      </c>
      <c r="DF176" t="str">
        <f t="shared" si="40"/>
        <v>Luxembourg#Fund#Luxembourg SCoSA</v>
      </c>
      <c r="DG176" t="b">
        <f t="shared" si="41"/>
        <v>1</v>
      </c>
    </row>
    <row r="177" spans="1:111" ht="78.75" customHeight="1" x14ac:dyDescent="0.35">
      <c r="A177" s="35" t="s">
        <v>1445</v>
      </c>
      <c r="B177" s="18" t="s">
        <v>1446</v>
      </c>
      <c r="C177" s="35" t="s">
        <v>141</v>
      </c>
      <c r="D177" s="36" t="s">
        <v>1506</v>
      </c>
      <c r="E177" s="35" t="s">
        <v>90</v>
      </c>
      <c r="F177" s="20" t="s">
        <v>1507</v>
      </c>
      <c r="G177" s="20" t="s">
        <v>1508</v>
      </c>
      <c r="H177" s="20" t="s">
        <v>1482</v>
      </c>
      <c r="I177" s="20" t="s">
        <v>146</v>
      </c>
      <c r="J177" s="20" t="s">
        <v>1449</v>
      </c>
      <c r="K177" s="20" t="s">
        <v>96</v>
      </c>
      <c r="L177" s="20" t="s">
        <v>97</v>
      </c>
      <c r="M177" s="20" t="s">
        <v>98</v>
      </c>
      <c r="N177" s="20" t="s">
        <v>147</v>
      </c>
      <c r="O177" s="20" t="s">
        <v>148</v>
      </c>
      <c r="P177" s="20" t="s">
        <v>149</v>
      </c>
      <c r="Q177" s="20" t="s">
        <v>150</v>
      </c>
      <c r="R177" s="20" t="s">
        <v>151</v>
      </c>
      <c r="S177" s="20" t="s">
        <v>152</v>
      </c>
      <c r="T177" s="20" t="s">
        <v>153</v>
      </c>
      <c r="U177" s="20" t="s">
        <v>154</v>
      </c>
      <c r="V177" s="21" t="s">
        <v>292</v>
      </c>
      <c r="W177" s="21" t="s">
        <v>203</v>
      </c>
      <c r="X177" s="21" t="s">
        <v>1475</v>
      </c>
      <c r="Y177" s="21" t="s">
        <v>1509</v>
      </c>
      <c r="Z177" s="21" t="s">
        <v>256</v>
      </c>
      <c r="AA177" s="21" t="s">
        <v>166</v>
      </c>
      <c r="AB177" s="21" t="s">
        <v>1510</v>
      </c>
      <c r="AC177" s="21" t="s">
        <v>1511</v>
      </c>
      <c r="AD177" s="38"/>
      <c r="AE177" s="23" t="s">
        <v>115</v>
      </c>
      <c r="AF177" s="38"/>
      <c r="AG177" s="23" t="s">
        <v>116</v>
      </c>
      <c r="AH177" s="38"/>
      <c r="AI177" s="25" t="s">
        <v>117</v>
      </c>
      <c r="AJ177" s="38"/>
      <c r="AK177" s="25" t="s">
        <v>117</v>
      </c>
      <c r="AL177" s="22">
        <v>0</v>
      </c>
      <c r="AM177" s="23" t="s">
        <v>115</v>
      </c>
      <c r="AN177" s="38"/>
      <c r="AO177" s="25" t="s">
        <v>117</v>
      </c>
      <c r="AP177" s="39" t="s">
        <v>118</v>
      </c>
      <c r="AQ177" s="23" t="s">
        <v>115</v>
      </c>
      <c r="AR177" s="40"/>
      <c r="AS177" s="23" t="s">
        <v>117</v>
      </c>
      <c r="AT177" s="39" t="s">
        <v>118</v>
      </c>
      <c r="AU177" s="23" t="s">
        <v>116</v>
      </c>
      <c r="AV177" s="39" t="s">
        <v>118</v>
      </c>
      <c r="AW177" s="23" t="s">
        <v>115</v>
      </c>
      <c r="AX177" s="39" t="s">
        <v>118</v>
      </c>
      <c r="AY177" s="23" t="s">
        <v>115</v>
      </c>
      <c r="AZ177" s="39" t="s">
        <v>118</v>
      </c>
      <c r="BA177" s="23" t="s">
        <v>115</v>
      </c>
      <c r="BB177" s="40"/>
      <c r="BC177" s="23" t="s">
        <v>115</v>
      </c>
      <c r="BD177" s="39" t="s">
        <v>118</v>
      </c>
      <c r="BE177" s="23" t="s">
        <v>115</v>
      </c>
      <c r="BF177" s="39" t="s">
        <v>118</v>
      </c>
      <c r="BG177" s="23" t="s">
        <v>115</v>
      </c>
      <c r="BH177" s="40"/>
      <c r="BI177" s="25" t="s">
        <v>117</v>
      </c>
      <c r="BJ177" s="40"/>
      <c r="BK177" s="25" t="s">
        <v>117</v>
      </c>
      <c r="BL177" s="40"/>
      <c r="BM177" s="25" t="s">
        <v>117</v>
      </c>
      <c r="BN177" s="40"/>
      <c r="BO177" s="25" t="s">
        <v>117</v>
      </c>
      <c r="BP177" s="40"/>
      <c r="BQ177" s="25" t="s">
        <v>117</v>
      </c>
      <c r="BR177" s="37">
        <v>35000</v>
      </c>
      <c r="BS177" s="25" t="s">
        <v>115</v>
      </c>
      <c r="BT177" s="40"/>
      <c r="BU177" s="25" t="s">
        <v>117</v>
      </c>
      <c r="BV177" s="40"/>
      <c r="BW177" s="25" t="s">
        <v>117</v>
      </c>
      <c r="BX177" s="40"/>
      <c r="BY177" s="25" t="s">
        <v>117</v>
      </c>
      <c r="BZ177" s="46"/>
      <c r="CA177" s="25" t="s">
        <v>117</v>
      </c>
      <c r="CB177" s="45" t="s">
        <v>159</v>
      </c>
      <c r="CC177" s="25" t="s">
        <v>116</v>
      </c>
      <c r="CD177" s="40"/>
      <c r="CE177" s="25" t="s">
        <v>117</v>
      </c>
      <c r="CF177" s="40"/>
      <c r="CG177" s="25" t="s">
        <v>117</v>
      </c>
      <c r="CH177" s="151">
        <v>5000</v>
      </c>
      <c r="CI177" s="25" t="s">
        <v>116</v>
      </c>
      <c r="CJ177" s="151">
        <v>2500</v>
      </c>
      <c r="CK177" s="48" t="s">
        <v>116</v>
      </c>
      <c r="CL177" s="46">
        <v>1500</v>
      </c>
      <c r="CM177" s="48" t="s">
        <v>116</v>
      </c>
      <c r="CN177" s="46">
        <v>1500</v>
      </c>
      <c r="CO177" s="25" t="s">
        <v>116</v>
      </c>
      <c r="CP177" s="30">
        <v>400</v>
      </c>
      <c r="CQ177" s="23" t="s">
        <v>115</v>
      </c>
      <c r="CR177" s="32"/>
      <c r="CS177" s="23" t="s">
        <v>117</v>
      </c>
      <c r="CT177" s="32"/>
      <c r="CU177" s="23" t="s">
        <v>117</v>
      </c>
      <c r="CV177" s="32"/>
      <c r="CW177" s="23" t="s">
        <v>117</v>
      </c>
      <c r="CX177" s="32"/>
      <c r="CY177" s="25" t="s">
        <v>117</v>
      </c>
      <c r="CZ177" s="32"/>
      <c r="DA177" s="25" t="s">
        <v>117</v>
      </c>
      <c r="DB177" s="33" t="s">
        <v>120</v>
      </c>
      <c r="DC177" s="25" t="s">
        <v>116</v>
      </c>
      <c r="DD177" s="34">
        <f t="shared" si="39"/>
        <v>3068</v>
      </c>
      <c r="DE177" t="s">
        <v>1512</v>
      </c>
      <c r="DF177" t="str">
        <f t="shared" si="40"/>
        <v>Luxembourg#Fund#Luxembourg SCS</v>
      </c>
      <c r="DG177" t="b">
        <f t="shared" si="41"/>
        <v>1</v>
      </c>
    </row>
    <row r="178" spans="1:111" ht="78.75" customHeight="1" x14ac:dyDescent="0.35">
      <c r="A178" s="18" t="s">
        <v>1445</v>
      </c>
      <c r="B178" s="18" t="s">
        <v>1446</v>
      </c>
      <c r="C178" s="18" t="s">
        <v>141</v>
      </c>
      <c r="D178" s="19" t="s">
        <v>1513</v>
      </c>
      <c r="E178" s="18" t="s">
        <v>817</v>
      </c>
      <c r="F178" s="20" t="s">
        <v>1514</v>
      </c>
      <c r="G178" s="20" t="s">
        <v>1515</v>
      </c>
      <c r="H178" s="20" t="s">
        <v>1482</v>
      </c>
      <c r="I178" s="20" t="s">
        <v>146</v>
      </c>
      <c r="J178" s="20" t="s">
        <v>1449</v>
      </c>
      <c r="K178" s="20" t="s">
        <v>96</v>
      </c>
      <c r="L178" s="20" t="s">
        <v>97</v>
      </c>
      <c r="M178" s="20" t="s">
        <v>98</v>
      </c>
      <c r="N178" s="20" t="s">
        <v>147</v>
      </c>
      <c r="O178" s="20" t="s">
        <v>148</v>
      </c>
      <c r="P178" s="20" t="s">
        <v>149</v>
      </c>
      <c r="Q178" s="20" t="s">
        <v>150</v>
      </c>
      <c r="R178" s="20" t="s">
        <v>151</v>
      </c>
      <c r="S178" s="20" t="s">
        <v>152</v>
      </c>
      <c r="T178" s="20" t="s">
        <v>153</v>
      </c>
      <c r="U178" s="20" t="s">
        <v>154</v>
      </c>
      <c r="V178" s="21" t="s">
        <v>292</v>
      </c>
      <c r="W178" s="21" t="s">
        <v>203</v>
      </c>
      <c r="X178" s="21" t="s">
        <v>164</v>
      </c>
      <c r="Y178" s="21" t="s">
        <v>1516</v>
      </c>
      <c r="Z178" s="21" t="s">
        <v>1517</v>
      </c>
      <c r="AA178" s="21" t="s">
        <v>166</v>
      </c>
      <c r="AB178" s="21" t="s">
        <v>1518</v>
      </c>
      <c r="AC178" s="21" t="s">
        <v>1519</v>
      </c>
      <c r="AD178" s="24"/>
      <c r="AE178" s="23" t="s">
        <v>115</v>
      </c>
      <c r="AF178" s="24"/>
      <c r="AG178" s="23" t="s">
        <v>116</v>
      </c>
      <c r="AH178" s="24"/>
      <c r="AI178" s="25" t="s">
        <v>117</v>
      </c>
      <c r="AJ178" s="24"/>
      <c r="AK178" s="25" t="s">
        <v>117</v>
      </c>
      <c r="AL178" s="22">
        <v>0</v>
      </c>
      <c r="AM178" s="23" t="s">
        <v>115</v>
      </c>
      <c r="AN178" s="24"/>
      <c r="AO178" s="25" t="s">
        <v>117</v>
      </c>
      <c r="AP178" s="27" t="s">
        <v>118</v>
      </c>
      <c r="AQ178" s="23" t="s">
        <v>115</v>
      </c>
      <c r="AR178" s="28"/>
      <c r="AS178" s="23" t="s">
        <v>117</v>
      </c>
      <c r="AT178" s="22">
        <v>2550</v>
      </c>
      <c r="AU178" s="23" t="s">
        <v>116</v>
      </c>
      <c r="AV178" s="22">
        <v>1960</v>
      </c>
      <c r="AW178" s="23" t="s">
        <v>115</v>
      </c>
      <c r="AX178" s="27" t="s">
        <v>118</v>
      </c>
      <c r="AY178" s="23" t="s">
        <v>115</v>
      </c>
      <c r="AZ178" s="22">
        <v>350</v>
      </c>
      <c r="BA178" s="23" t="s">
        <v>115</v>
      </c>
      <c r="BB178" s="24"/>
      <c r="BC178" s="23" t="s">
        <v>115</v>
      </c>
      <c r="BD178" s="27" t="s">
        <v>118</v>
      </c>
      <c r="BE178" s="23" t="s">
        <v>115</v>
      </c>
      <c r="BF178" s="22">
        <v>1600</v>
      </c>
      <c r="BG178" s="23" t="s">
        <v>115</v>
      </c>
      <c r="BH178" s="24"/>
      <c r="BI178" s="25" t="s">
        <v>117</v>
      </c>
      <c r="BJ178" s="24"/>
      <c r="BK178" s="25" t="s">
        <v>117</v>
      </c>
      <c r="BL178" s="24"/>
      <c r="BM178" s="25" t="s">
        <v>117</v>
      </c>
      <c r="BN178" s="24"/>
      <c r="BO178" s="25" t="s">
        <v>117</v>
      </c>
      <c r="BP178" s="24"/>
      <c r="BQ178" s="25" t="s">
        <v>117</v>
      </c>
      <c r="BR178" s="22">
        <v>6455</v>
      </c>
      <c r="BS178" s="25" t="s">
        <v>115</v>
      </c>
      <c r="BT178" s="24"/>
      <c r="BU178" s="25" t="s">
        <v>117</v>
      </c>
      <c r="BV178" s="24"/>
      <c r="BW178" s="25" t="s">
        <v>117</v>
      </c>
      <c r="BX178" s="24"/>
      <c r="BY178" s="25" t="s">
        <v>117</v>
      </c>
      <c r="BZ178" s="46"/>
      <c r="CA178" s="25" t="s">
        <v>117</v>
      </c>
      <c r="CB178" s="45" t="s">
        <v>159</v>
      </c>
      <c r="CC178" s="25" t="s">
        <v>116</v>
      </c>
      <c r="CD178" s="24"/>
      <c r="CE178" s="25" t="s">
        <v>117</v>
      </c>
      <c r="CF178" s="24"/>
      <c r="CG178" s="25" t="s">
        <v>117</v>
      </c>
      <c r="CH178" s="151">
        <v>5000</v>
      </c>
      <c r="CI178" s="25" t="s">
        <v>116</v>
      </c>
      <c r="CJ178" s="151">
        <v>2500</v>
      </c>
      <c r="CK178" s="48" t="s">
        <v>116</v>
      </c>
      <c r="CL178" s="46">
        <v>1500</v>
      </c>
      <c r="CM178" s="48" t="s">
        <v>116</v>
      </c>
      <c r="CN178" s="46">
        <v>1500</v>
      </c>
      <c r="CO178" s="25" t="s">
        <v>116</v>
      </c>
      <c r="CP178" s="30">
        <v>400</v>
      </c>
      <c r="CQ178" s="23" t="s">
        <v>115</v>
      </c>
      <c r="CR178" s="32"/>
      <c r="CS178" s="23" t="s">
        <v>117</v>
      </c>
      <c r="CT178" s="32"/>
      <c r="CU178" s="23" t="s">
        <v>117</v>
      </c>
      <c r="CV178" s="32"/>
      <c r="CW178" s="23" t="s">
        <v>117</v>
      </c>
      <c r="CX178" s="32"/>
      <c r="CY178" s="25" t="s">
        <v>117</v>
      </c>
      <c r="CZ178" s="32"/>
      <c r="DA178" s="25" t="s">
        <v>117</v>
      </c>
      <c r="DB178" s="33" t="s">
        <v>1454</v>
      </c>
      <c r="DC178" s="25" t="s">
        <v>116</v>
      </c>
      <c r="DD178" s="34">
        <f t="shared" si="39"/>
        <v>1291</v>
      </c>
      <c r="DE178" t="s">
        <v>1520</v>
      </c>
      <c r="DF178" t="str">
        <f t="shared" si="40"/>
        <v>Luxembourg#Fund#Luxembourg SCSp</v>
      </c>
      <c r="DG178" t="b">
        <f t="shared" si="41"/>
        <v>1</v>
      </c>
    </row>
    <row r="179" spans="1:111" ht="15" customHeight="1" x14ac:dyDescent="0.35">
      <c r="A179" s="35" t="s">
        <v>1445</v>
      </c>
      <c r="B179" s="18" t="s">
        <v>1446</v>
      </c>
      <c r="C179" s="35" t="s">
        <v>141</v>
      </c>
      <c r="D179" s="36" t="s">
        <v>1521</v>
      </c>
      <c r="E179" s="35" t="s">
        <v>90</v>
      </c>
      <c r="F179" s="20" t="s">
        <v>1522</v>
      </c>
      <c r="G179" s="20" t="s">
        <v>1523</v>
      </c>
      <c r="H179" s="20" t="s">
        <v>1482</v>
      </c>
      <c r="I179" s="20" t="s">
        <v>146</v>
      </c>
      <c r="J179" s="20" t="s">
        <v>1449</v>
      </c>
      <c r="K179" s="20" t="s">
        <v>96</v>
      </c>
      <c r="L179" s="20" t="s">
        <v>97</v>
      </c>
      <c r="M179" s="20" t="s">
        <v>98</v>
      </c>
      <c r="N179" s="20" t="s">
        <v>147</v>
      </c>
      <c r="O179" s="20" t="s">
        <v>148</v>
      </c>
      <c r="P179" s="20" t="s">
        <v>149</v>
      </c>
      <c r="Q179" s="20" t="s">
        <v>150</v>
      </c>
      <c r="R179" s="20" t="s">
        <v>151</v>
      </c>
      <c r="S179" s="20" t="s">
        <v>152</v>
      </c>
      <c r="T179" s="20" t="s">
        <v>153</v>
      </c>
      <c r="U179" s="20" t="s">
        <v>154</v>
      </c>
      <c r="V179" s="21" t="s">
        <v>1524</v>
      </c>
      <c r="W179" s="21" t="s">
        <v>203</v>
      </c>
      <c r="X179" s="21" t="s">
        <v>772</v>
      </c>
      <c r="Y179" s="21" t="s">
        <v>1525</v>
      </c>
      <c r="Z179" s="21" t="s">
        <v>256</v>
      </c>
      <c r="AA179" s="21" t="s">
        <v>1526</v>
      </c>
      <c r="AB179" s="21" t="s">
        <v>1527</v>
      </c>
      <c r="AC179" s="21" t="s">
        <v>1528</v>
      </c>
      <c r="AE179" s="23" t="s">
        <v>115</v>
      </c>
      <c r="AF179" s="38"/>
      <c r="AG179" s="23" t="s">
        <v>116</v>
      </c>
      <c r="AH179" s="38"/>
      <c r="AI179" s="25" t="s">
        <v>117</v>
      </c>
      <c r="AJ179" s="38"/>
      <c r="AK179" s="25" t="s">
        <v>117</v>
      </c>
      <c r="AL179" s="22">
        <v>0</v>
      </c>
      <c r="AM179" s="23" t="s">
        <v>115</v>
      </c>
      <c r="AN179" s="38"/>
      <c r="AO179" s="25" t="s">
        <v>117</v>
      </c>
      <c r="AP179" s="39" t="s">
        <v>118</v>
      </c>
      <c r="AQ179" s="23" t="s">
        <v>115</v>
      </c>
      <c r="AR179" s="40"/>
      <c r="AS179" s="23" t="s">
        <v>117</v>
      </c>
      <c r="AT179" s="39" t="s">
        <v>118</v>
      </c>
      <c r="AU179" s="23" t="s">
        <v>116</v>
      </c>
      <c r="AV179" s="39" t="s">
        <v>118</v>
      </c>
      <c r="AW179" s="23" t="s">
        <v>115</v>
      </c>
      <c r="AX179" s="39" t="s">
        <v>118</v>
      </c>
      <c r="AY179" s="23" t="s">
        <v>115</v>
      </c>
      <c r="AZ179" s="39" t="s">
        <v>118</v>
      </c>
      <c r="BA179" s="23" t="s">
        <v>115</v>
      </c>
      <c r="BB179" s="40"/>
      <c r="BC179" s="23" t="s">
        <v>115</v>
      </c>
      <c r="BD179" s="39" t="s">
        <v>118</v>
      </c>
      <c r="BE179" s="23" t="s">
        <v>115</v>
      </c>
      <c r="BF179" s="39" t="s">
        <v>118</v>
      </c>
      <c r="BG179" s="23" t="s">
        <v>115</v>
      </c>
      <c r="BH179" s="40"/>
      <c r="BI179" s="25" t="s">
        <v>117</v>
      </c>
      <c r="BJ179" s="40"/>
      <c r="BK179" s="25" t="s">
        <v>117</v>
      </c>
      <c r="BL179" s="40"/>
      <c r="BM179" s="25" t="s">
        <v>117</v>
      </c>
      <c r="BN179" s="40"/>
      <c r="BO179" s="25" t="s">
        <v>117</v>
      </c>
      <c r="BP179" s="40"/>
      <c r="BQ179" s="25" t="s">
        <v>117</v>
      </c>
      <c r="BR179" s="37">
        <v>35000</v>
      </c>
      <c r="BS179" s="25" t="s">
        <v>115</v>
      </c>
      <c r="BT179" s="40"/>
      <c r="BU179" s="25" t="s">
        <v>117</v>
      </c>
      <c r="BV179" s="40"/>
      <c r="BW179" s="25" t="s">
        <v>117</v>
      </c>
      <c r="BX179" s="40"/>
      <c r="BY179" s="25" t="s">
        <v>117</v>
      </c>
      <c r="BZ179" s="46"/>
      <c r="CA179" s="25" t="s">
        <v>117</v>
      </c>
      <c r="CB179" s="45" t="s">
        <v>159</v>
      </c>
      <c r="CC179" s="25" t="s">
        <v>116</v>
      </c>
      <c r="CD179" s="40"/>
      <c r="CE179" s="25" t="s">
        <v>117</v>
      </c>
      <c r="CF179" s="40"/>
      <c r="CG179" s="25" t="s">
        <v>117</v>
      </c>
      <c r="CH179" s="151">
        <v>5000</v>
      </c>
      <c r="CI179" s="25" t="s">
        <v>116</v>
      </c>
      <c r="CJ179" s="151">
        <v>2500</v>
      </c>
      <c r="CK179" s="48" t="s">
        <v>116</v>
      </c>
      <c r="CL179" s="46">
        <v>1500</v>
      </c>
      <c r="CM179" s="48" t="s">
        <v>116</v>
      </c>
      <c r="CN179" s="46">
        <v>1500</v>
      </c>
      <c r="CO179" s="25" t="s">
        <v>116</v>
      </c>
      <c r="CP179" s="30">
        <v>400</v>
      </c>
      <c r="CQ179" s="23" t="s">
        <v>115</v>
      </c>
      <c r="CR179" s="32"/>
      <c r="CS179" s="23" t="s">
        <v>117</v>
      </c>
      <c r="CT179" s="32"/>
      <c r="CU179" s="23" t="s">
        <v>117</v>
      </c>
      <c r="CV179" s="32"/>
      <c r="CW179" s="23" t="s">
        <v>117</v>
      </c>
      <c r="CX179" s="32"/>
      <c r="CY179" s="25" t="s">
        <v>117</v>
      </c>
      <c r="CZ179" s="32"/>
      <c r="DA179" s="25" t="s">
        <v>117</v>
      </c>
      <c r="DB179" s="33" t="s">
        <v>120</v>
      </c>
      <c r="DC179" s="25" t="s">
        <v>116</v>
      </c>
      <c r="DD179" s="34">
        <f t="shared" si="39"/>
        <v>3068</v>
      </c>
      <c r="DE179" t="s">
        <v>1529</v>
      </c>
      <c r="DF179" t="str">
        <f t="shared" si="40"/>
        <v>Luxembourg#Fund#Luxembourg FCP</v>
      </c>
      <c r="DG179" t="b">
        <f t="shared" si="41"/>
        <v>1</v>
      </c>
    </row>
    <row r="180" spans="1:111" ht="78.75" customHeight="1" x14ac:dyDescent="0.35">
      <c r="A180" s="84" t="s">
        <v>1445</v>
      </c>
      <c r="B180" s="85" t="s">
        <v>1446</v>
      </c>
      <c r="C180" s="86" t="s">
        <v>141</v>
      </c>
      <c r="D180" s="86" t="s">
        <v>1530</v>
      </c>
      <c r="E180" s="86" t="s">
        <v>817</v>
      </c>
      <c r="F180" s="87" t="s">
        <v>1531</v>
      </c>
      <c r="G180" s="87" t="s">
        <v>1532</v>
      </c>
      <c r="H180" s="87" t="s">
        <v>670</v>
      </c>
      <c r="I180" s="87" t="s">
        <v>1533</v>
      </c>
      <c r="J180" s="87" t="s">
        <v>1449</v>
      </c>
      <c r="K180" s="87" t="s">
        <v>96</v>
      </c>
      <c r="L180" s="87" t="s">
        <v>97</v>
      </c>
      <c r="M180" s="87" t="s">
        <v>98</v>
      </c>
      <c r="N180" s="87" t="s">
        <v>147</v>
      </c>
      <c r="O180" s="87" t="s">
        <v>148</v>
      </c>
      <c r="P180" s="87" t="s">
        <v>149</v>
      </c>
      <c r="Q180" s="87" t="s">
        <v>150</v>
      </c>
      <c r="R180" s="87" t="s">
        <v>1534</v>
      </c>
      <c r="S180" s="87" t="s">
        <v>1535</v>
      </c>
      <c r="T180" s="87" t="s">
        <v>1536</v>
      </c>
      <c r="U180" s="87" t="s">
        <v>1537</v>
      </c>
      <c r="V180" s="88" t="s">
        <v>292</v>
      </c>
      <c r="W180" s="88" t="s">
        <v>203</v>
      </c>
      <c r="X180" s="88" t="s">
        <v>1538</v>
      </c>
      <c r="Y180" s="88" t="s">
        <v>1539</v>
      </c>
      <c r="Z180" s="88" t="s">
        <v>1540</v>
      </c>
      <c r="AA180" s="88" t="s">
        <v>1541</v>
      </c>
      <c r="AB180" s="88" t="s">
        <v>1542</v>
      </c>
      <c r="AC180" s="88" t="s">
        <v>1543</v>
      </c>
      <c r="AD180" s="89"/>
      <c r="AE180" s="23" t="s">
        <v>115</v>
      </c>
      <c r="AF180" s="90" t="s">
        <v>1544</v>
      </c>
      <c r="AG180" s="91" t="s">
        <v>116</v>
      </c>
      <c r="AH180" s="90" t="s">
        <v>1544</v>
      </c>
      <c r="AI180" s="25" t="s">
        <v>117</v>
      </c>
      <c r="AJ180" s="90" t="s">
        <v>1544</v>
      </c>
      <c r="AK180" s="25" t="s">
        <v>117</v>
      </c>
      <c r="AL180" s="92">
        <v>0</v>
      </c>
      <c r="AM180" s="91" t="s">
        <v>115</v>
      </c>
      <c r="AN180" s="90" t="s">
        <v>1544</v>
      </c>
      <c r="AO180" s="25" t="s">
        <v>117</v>
      </c>
      <c r="AP180" s="90" t="s">
        <v>118</v>
      </c>
      <c r="AQ180" s="91" t="s">
        <v>115</v>
      </c>
      <c r="AR180" s="90" t="s">
        <v>1544</v>
      </c>
      <c r="AS180" s="91" t="s">
        <v>117</v>
      </c>
      <c r="AT180" s="93">
        <v>2550</v>
      </c>
      <c r="AU180" s="91" t="s">
        <v>116</v>
      </c>
      <c r="AV180" s="93">
        <v>1960</v>
      </c>
      <c r="AW180" s="91" t="s">
        <v>115</v>
      </c>
      <c r="AX180" s="90" t="s">
        <v>118</v>
      </c>
      <c r="AY180" s="91" t="s">
        <v>115</v>
      </c>
      <c r="AZ180" s="93">
        <v>350</v>
      </c>
      <c r="BA180" s="91" t="s">
        <v>115</v>
      </c>
      <c r="BB180" s="90" t="s">
        <v>1544</v>
      </c>
      <c r="BC180" s="91" t="s">
        <v>115</v>
      </c>
      <c r="BD180" s="90" t="s">
        <v>118</v>
      </c>
      <c r="BE180" s="91" t="s">
        <v>115</v>
      </c>
      <c r="BF180" s="93">
        <v>1600</v>
      </c>
      <c r="BG180" s="91" t="s">
        <v>115</v>
      </c>
      <c r="BH180" s="90" t="s">
        <v>1544</v>
      </c>
      <c r="BI180" s="25" t="s">
        <v>117</v>
      </c>
      <c r="BJ180" s="90" t="s">
        <v>1544</v>
      </c>
      <c r="BK180" s="25" t="s">
        <v>117</v>
      </c>
      <c r="BL180" s="90" t="s">
        <v>1544</v>
      </c>
      <c r="BM180" s="25" t="s">
        <v>117</v>
      </c>
      <c r="BN180" s="90" t="s">
        <v>1544</v>
      </c>
      <c r="BO180" s="25" t="s">
        <v>117</v>
      </c>
      <c r="BP180" s="90" t="s">
        <v>1544</v>
      </c>
      <c r="BQ180" s="25" t="s">
        <v>117</v>
      </c>
      <c r="BR180" s="93">
        <v>6455</v>
      </c>
      <c r="BS180" s="25" t="s">
        <v>115</v>
      </c>
      <c r="BT180" s="93">
        <v>8500</v>
      </c>
      <c r="BU180" s="25" t="s">
        <v>116</v>
      </c>
      <c r="BV180" s="90" t="s">
        <v>1544</v>
      </c>
      <c r="BW180" s="25" t="s">
        <v>117</v>
      </c>
      <c r="BX180" s="90" t="s">
        <v>1544</v>
      </c>
      <c r="BY180" s="25" t="s">
        <v>117</v>
      </c>
      <c r="BZ180" s="94" t="s">
        <v>1544</v>
      </c>
      <c r="CA180" s="25" t="s">
        <v>117</v>
      </c>
      <c r="CB180" s="94" t="s">
        <v>159</v>
      </c>
      <c r="CC180" s="25" t="s">
        <v>116</v>
      </c>
      <c r="CD180" s="90" t="s">
        <v>1544</v>
      </c>
      <c r="CE180" s="25" t="s">
        <v>117</v>
      </c>
      <c r="CF180" s="90" t="s">
        <v>1544</v>
      </c>
      <c r="CG180" s="25" t="s">
        <v>117</v>
      </c>
      <c r="CH180" s="151">
        <v>5000</v>
      </c>
      <c r="CI180" s="25" t="s">
        <v>116</v>
      </c>
      <c r="CJ180" s="151">
        <v>2500</v>
      </c>
      <c r="CK180" s="48" t="s">
        <v>116</v>
      </c>
      <c r="CL180" s="46">
        <v>1500</v>
      </c>
      <c r="CM180" s="48" t="s">
        <v>116</v>
      </c>
      <c r="CN180" s="46">
        <v>1500</v>
      </c>
      <c r="CO180" s="25" t="s">
        <v>116</v>
      </c>
      <c r="CP180" s="95">
        <v>400</v>
      </c>
      <c r="CQ180" s="91" t="s">
        <v>115</v>
      </c>
      <c r="CR180" s="96" t="s">
        <v>1544</v>
      </c>
      <c r="CS180" s="91" t="s">
        <v>117</v>
      </c>
      <c r="CT180" s="96" t="s">
        <v>1544</v>
      </c>
      <c r="CU180" s="91" t="s">
        <v>117</v>
      </c>
      <c r="CV180" s="96" t="s">
        <v>1544</v>
      </c>
      <c r="CW180" s="91" t="s">
        <v>117</v>
      </c>
      <c r="CX180" s="96" t="s">
        <v>1544</v>
      </c>
      <c r="CY180" s="25" t="s">
        <v>117</v>
      </c>
      <c r="CZ180" s="96" t="s">
        <v>1544</v>
      </c>
      <c r="DA180" s="25" t="s">
        <v>117</v>
      </c>
      <c r="DB180" s="97" t="s">
        <v>1454</v>
      </c>
      <c r="DC180" s="25" t="s">
        <v>116</v>
      </c>
      <c r="DD180" s="34">
        <f t="shared" si="39"/>
        <v>1929</v>
      </c>
      <c r="DE180" s="89" t="s">
        <v>1545</v>
      </c>
      <c r="DF180" s="89" t="str">
        <f t="shared" si="40"/>
        <v>Luxembourg#Fund#Luxembourg RAIF</v>
      </c>
      <c r="DG180" s="89" t="b">
        <f t="shared" si="41"/>
        <v>1</v>
      </c>
    </row>
    <row r="181" spans="1:111" ht="78.75" hidden="1" customHeight="1" x14ac:dyDescent="0.35">
      <c r="A181" s="184" t="s">
        <v>1546</v>
      </c>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c r="AA181" s="184"/>
      <c r="AB181" s="184"/>
      <c r="AC181" s="184"/>
      <c r="AD181" s="184"/>
      <c r="AE181" s="184"/>
      <c r="AF181" s="184"/>
      <c r="AG181" s="184"/>
      <c r="AH181" s="184"/>
      <c r="AI181" s="184"/>
      <c r="AJ181" s="184"/>
      <c r="AK181" s="184"/>
      <c r="AL181" s="184"/>
      <c r="AM181" s="184"/>
      <c r="AN181" s="184"/>
      <c r="AO181" s="184"/>
      <c r="AP181" s="184"/>
      <c r="AQ181" s="184"/>
      <c r="AR181" s="184"/>
      <c r="AS181" s="184"/>
      <c r="AT181" s="184"/>
      <c r="AU181" s="184"/>
      <c r="AV181" s="184"/>
      <c r="AW181" s="184"/>
      <c r="AX181" s="184"/>
      <c r="AY181" s="184"/>
      <c r="AZ181" s="184"/>
      <c r="BA181" s="184"/>
      <c r="BB181" s="184"/>
      <c r="BC181" s="184"/>
      <c r="BD181" s="184"/>
      <c r="BE181" s="184"/>
      <c r="BF181" s="184"/>
      <c r="BG181" s="184"/>
      <c r="BH181" s="184"/>
      <c r="BI181" s="184"/>
      <c r="BJ181" s="184"/>
      <c r="BK181" s="184"/>
      <c r="BL181" s="184"/>
      <c r="BM181" s="184"/>
      <c r="BN181" s="184"/>
      <c r="BO181" s="184"/>
      <c r="BP181" s="184"/>
      <c r="BQ181" s="184"/>
      <c r="BR181" s="184"/>
      <c r="BS181" s="184"/>
      <c r="BT181" s="184"/>
      <c r="BU181" s="184"/>
      <c r="BV181" s="184"/>
      <c r="BW181" s="184"/>
      <c r="BX181" s="184"/>
      <c r="BY181" s="184"/>
      <c r="BZ181" s="184"/>
      <c r="CA181" s="184"/>
      <c r="CB181" s="184"/>
      <c r="CC181" s="184"/>
      <c r="CD181" s="184"/>
      <c r="CE181" s="184"/>
      <c r="CF181" s="184"/>
      <c r="CG181" s="184"/>
      <c r="CH181" s="184"/>
      <c r="CI181" s="184"/>
      <c r="CJ181" s="184"/>
      <c r="CK181" s="184"/>
      <c r="CL181" s="184"/>
      <c r="CM181" s="184"/>
      <c r="CN181" s="184"/>
      <c r="CO181" s="184"/>
      <c r="CP181" s="184"/>
      <c r="CQ181" s="184"/>
      <c r="CR181" s="184"/>
      <c r="CS181" s="184"/>
      <c r="CT181" s="184"/>
      <c r="CU181" s="184"/>
      <c r="CV181" s="184"/>
      <c r="CW181" s="184"/>
      <c r="CX181" s="184"/>
      <c r="CY181" s="184"/>
      <c r="CZ181" s="184"/>
      <c r="DA181" s="184"/>
      <c r="DB181" s="184"/>
      <c r="DC181" s="184"/>
      <c r="DE181" t="s">
        <v>85</v>
      </c>
      <c r="DF181" t="str">
        <f>A169&amp;"#"&amp;C169&amp;"#"&amp;D169</f>
        <v>Luxembourg#Company#Luxembourg SA</v>
      </c>
    </row>
    <row r="182" spans="1:111" ht="78.75" hidden="1" customHeight="1" x14ac:dyDescent="0.35">
      <c r="A182" s="72" t="s">
        <v>1547</v>
      </c>
      <c r="B182" s="42" t="s">
        <v>1548</v>
      </c>
      <c r="C182" s="72" t="s">
        <v>88</v>
      </c>
      <c r="D182" s="73" t="s">
        <v>1549</v>
      </c>
      <c r="E182" s="72" t="s">
        <v>817</v>
      </c>
      <c r="F182" s="20" t="s">
        <v>143</v>
      </c>
      <c r="G182" s="20" t="s">
        <v>1550</v>
      </c>
      <c r="H182" s="20" t="s">
        <v>93</v>
      </c>
      <c r="I182" s="20" t="s">
        <v>94</v>
      </c>
      <c r="J182" s="20" t="s">
        <v>1551</v>
      </c>
      <c r="K182" s="20" t="s">
        <v>96</v>
      </c>
      <c r="L182" s="20" t="s">
        <v>97</v>
      </c>
      <c r="M182" s="20" t="s">
        <v>98</v>
      </c>
      <c r="N182" s="20" t="s">
        <v>1552</v>
      </c>
      <c r="O182" s="20" t="s">
        <v>100</v>
      </c>
      <c r="P182" s="20" t="s">
        <v>101</v>
      </c>
      <c r="Q182" s="20" t="s">
        <v>102</v>
      </c>
      <c r="R182" s="20" t="s">
        <v>103</v>
      </c>
      <c r="S182" s="20" t="s">
        <v>104</v>
      </c>
      <c r="T182" s="20" t="s">
        <v>105</v>
      </c>
      <c r="U182" s="20" t="s">
        <v>106</v>
      </c>
      <c r="V182" s="21" t="s">
        <v>243</v>
      </c>
      <c r="W182" s="21" t="s">
        <v>1553</v>
      </c>
      <c r="X182" s="21" t="s">
        <v>109</v>
      </c>
      <c r="Y182" s="21" t="s">
        <v>1554</v>
      </c>
      <c r="Z182" s="21" t="s">
        <v>256</v>
      </c>
      <c r="AA182" s="21" t="s">
        <v>112</v>
      </c>
      <c r="AB182" s="21" t="s">
        <v>1555</v>
      </c>
      <c r="AC182" s="21" t="s">
        <v>1556</v>
      </c>
      <c r="AD182" s="26">
        <v>2750</v>
      </c>
      <c r="AE182" s="23" t="s">
        <v>115</v>
      </c>
      <c r="AF182" s="75"/>
      <c r="AG182" s="23" t="s">
        <v>116</v>
      </c>
      <c r="AH182" s="75"/>
      <c r="AI182" s="25" t="s">
        <v>117</v>
      </c>
      <c r="AJ182" s="75"/>
      <c r="AK182" s="25" t="s">
        <v>117</v>
      </c>
      <c r="AL182" s="22">
        <v>0</v>
      </c>
      <c r="AM182" s="23" t="s">
        <v>115</v>
      </c>
      <c r="AN182" s="26">
        <v>1350</v>
      </c>
      <c r="AO182" s="25" t="s">
        <v>116</v>
      </c>
      <c r="AP182" s="26">
        <v>3600</v>
      </c>
      <c r="AQ182" s="23" t="s">
        <v>115</v>
      </c>
      <c r="AR182" s="75"/>
      <c r="AS182" s="23" t="s">
        <v>117</v>
      </c>
      <c r="AT182" s="61">
        <v>6950</v>
      </c>
      <c r="AU182" s="23" t="s">
        <v>116</v>
      </c>
      <c r="AV182" s="61">
        <v>1250</v>
      </c>
      <c r="AW182" s="23" t="s">
        <v>115</v>
      </c>
      <c r="AX182" s="61">
        <v>1400</v>
      </c>
      <c r="AY182" s="23" t="s">
        <v>115</v>
      </c>
      <c r="AZ182" s="58" t="s">
        <v>1557</v>
      </c>
      <c r="BA182" s="23" t="s">
        <v>115</v>
      </c>
      <c r="BB182" s="75"/>
      <c r="BC182" s="23" t="s">
        <v>115</v>
      </c>
      <c r="BD182" s="26">
        <v>1850</v>
      </c>
      <c r="BE182" s="23" t="s">
        <v>115</v>
      </c>
      <c r="BF182" s="61">
        <v>800</v>
      </c>
      <c r="BG182" s="23" t="s">
        <v>115</v>
      </c>
      <c r="BH182" s="26">
        <v>600</v>
      </c>
      <c r="BI182" s="25" t="s">
        <v>116</v>
      </c>
      <c r="BJ182" s="74"/>
      <c r="BK182" s="25" t="s">
        <v>117</v>
      </c>
      <c r="BL182" s="74"/>
      <c r="BM182" s="25" t="s">
        <v>117</v>
      </c>
      <c r="BN182" s="74"/>
      <c r="BO182" s="25" t="s">
        <v>117</v>
      </c>
      <c r="BP182" s="74"/>
      <c r="BQ182" s="25" t="s">
        <v>117</v>
      </c>
      <c r="BR182" s="74"/>
      <c r="BS182" s="25" t="s">
        <v>117</v>
      </c>
      <c r="BT182" s="74"/>
      <c r="BU182" s="25" t="s">
        <v>117</v>
      </c>
      <c r="BV182" s="74"/>
      <c r="BW182" s="25" t="s">
        <v>117</v>
      </c>
      <c r="BX182" s="74"/>
      <c r="BY182" s="25" t="s">
        <v>117</v>
      </c>
      <c r="BZ182" s="74"/>
      <c r="CA182" s="25" t="s">
        <v>117</v>
      </c>
      <c r="CB182" s="74"/>
      <c r="CC182" s="25" t="s">
        <v>117</v>
      </c>
      <c r="CD182" s="74"/>
      <c r="CE182" s="25" t="s">
        <v>117</v>
      </c>
      <c r="CF182" s="74"/>
      <c r="CG182" s="25" t="s">
        <v>117</v>
      </c>
      <c r="CH182" s="74"/>
      <c r="CI182" s="25"/>
      <c r="CJ182" s="74"/>
      <c r="CK182" s="62" t="s">
        <v>117</v>
      </c>
      <c r="CL182" s="74"/>
      <c r="CM182" s="62" t="s">
        <v>117</v>
      </c>
      <c r="CN182" s="74"/>
      <c r="CO182" s="25" t="s">
        <v>117</v>
      </c>
      <c r="CP182" s="30">
        <v>400</v>
      </c>
      <c r="CQ182" s="23" t="s">
        <v>115</v>
      </c>
      <c r="CR182" s="32"/>
      <c r="CS182" s="23" t="s">
        <v>117</v>
      </c>
      <c r="CT182" s="32"/>
      <c r="CU182" s="23" t="s">
        <v>117</v>
      </c>
      <c r="CV182" s="32"/>
      <c r="CW182" s="23" t="s">
        <v>117</v>
      </c>
      <c r="CX182" s="32"/>
      <c r="CY182" s="25" t="s">
        <v>117</v>
      </c>
      <c r="CZ182" s="32"/>
      <c r="DA182" s="25" t="s">
        <v>117</v>
      </c>
      <c r="DB182" s="33" t="s">
        <v>120</v>
      </c>
      <c r="DC182" s="25" t="s">
        <v>116</v>
      </c>
      <c r="DD182" s="34">
        <f t="shared" ref="DD182:DD190" si="42">ROUND(0.075*SUM(AD182,AF182,AH182,AJ182,AL182,AN182,AP182,AR182,AT182,AV182,AX182,AZ182,BB182,BR182,BT182,BV182,BX182,BZ182,CB182,CD182,CF182,CJ182,CL182,CN182,CP182,CR182,CT182,CV182,CX182,CZ182),0)</f>
        <v>1328</v>
      </c>
      <c r="DE182" t="s">
        <v>1558</v>
      </c>
      <c r="DF182" t="str">
        <f t="shared" ref="DF182:DF190" si="43">A182&amp;"#"&amp;C182&amp;"#"&amp;D182</f>
        <v>Malta#Company#Malta Ltd</v>
      </c>
      <c r="DG182" t="b">
        <f t="shared" ref="DG182:DG190" si="44">DE182=DF182</f>
        <v>1</v>
      </c>
    </row>
    <row r="183" spans="1:111" ht="78.75" hidden="1" customHeight="1" x14ac:dyDescent="0.35">
      <c r="A183" s="42" t="s">
        <v>1547</v>
      </c>
      <c r="B183" s="42" t="s">
        <v>1548</v>
      </c>
      <c r="C183" s="42" t="s">
        <v>122</v>
      </c>
      <c r="D183" s="43" t="s">
        <v>1559</v>
      </c>
      <c r="E183" s="42" t="s">
        <v>90</v>
      </c>
      <c r="F183" s="20" t="s">
        <v>124</v>
      </c>
      <c r="G183" s="20" t="s">
        <v>1560</v>
      </c>
      <c r="H183" s="20" t="s">
        <v>126</v>
      </c>
      <c r="I183" s="20" t="s">
        <v>127</v>
      </c>
      <c r="J183" s="20" t="s">
        <v>1551</v>
      </c>
      <c r="K183" s="20" t="s">
        <v>96</v>
      </c>
      <c r="L183" s="20" t="s">
        <v>97</v>
      </c>
      <c r="M183" s="20" t="s">
        <v>98</v>
      </c>
      <c r="N183" s="20" t="s">
        <v>128</v>
      </c>
      <c r="O183" s="20" t="s">
        <v>129</v>
      </c>
      <c r="P183" s="20" t="s">
        <v>130</v>
      </c>
      <c r="Q183" s="20" t="s">
        <v>131</v>
      </c>
      <c r="R183" s="20" t="s">
        <v>132</v>
      </c>
      <c r="S183" s="20" t="s">
        <v>133</v>
      </c>
      <c r="T183" s="20" t="s">
        <v>134</v>
      </c>
      <c r="U183" s="20" t="s">
        <v>135</v>
      </c>
      <c r="V183" s="21" t="s">
        <v>122</v>
      </c>
      <c r="W183" s="21" t="s">
        <v>1553</v>
      </c>
      <c r="X183" s="21" t="s">
        <v>109</v>
      </c>
      <c r="Y183" s="21" t="s">
        <v>1561</v>
      </c>
      <c r="Z183" s="21" t="s">
        <v>111</v>
      </c>
      <c r="AA183" s="21"/>
      <c r="AB183" s="21" t="s">
        <v>1562</v>
      </c>
      <c r="AC183" s="21" t="s">
        <v>1563</v>
      </c>
      <c r="AD183" s="47">
        <v>5000</v>
      </c>
      <c r="AE183" s="23" t="s">
        <v>115</v>
      </c>
      <c r="AF183" s="44"/>
      <c r="AG183" s="23" t="s">
        <v>116</v>
      </c>
      <c r="AH183" s="44"/>
      <c r="AI183" s="25" t="s">
        <v>117</v>
      </c>
      <c r="AJ183" s="44"/>
      <c r="AK183" s="25" t="s">
        <v>117</v>
      </c>
      <c r="AL183" s="22">
        <v>0</v>
      </c>
      <c r="AM183" s="23" t="s">
        <v>115</v>
      </c>
      <c r="AN183" s="44"/>
      <c r="AO183" s="25" t="s">
        <v>117</v>
      </c>
      <c r="AQ183" s="23" t="s">
        <v>117</v>
      </c>
      <c r="AR183" s="47">
        <v>4000</v>
      </c>
      <c r="AS183" s="23" t="s">
        <v>115</v>
      </c>
      <c r="AT183" s="45" t="s">
        <v>118</v>
      </c>
      <c r="AU183" s="23" t="s">
        <v>116</v>
      </c>
      <c r="AV183" s="45" t="s">
        <v>118</v>
      </c>
      <c r="AW183" s="23" t="s">
        <v>115</v>
      </c>
      <c r="AX183" s="45" t="s">
        <v>118</v>
      </c>
      <c r="AY183" s="23" t="s">
        <v>115</v>
      </c>
      <c r="AZ183" s="45" t="s">
        <v>118</v>
      </c>
      <c r="BA183" s="23" t="s">
        <v>115</v>
      </c>
      <c r="BB183" s="46"/>
      <c r="BC183" s="23" t="s">
        <v>115</v>
      </c>
      <c r="BD183" s="45" t="s">
        <v>118</v>
      </c>
      <c r="BE183" s="23" t="s">
        <v>115</v>
      </c>
      <c r="BF183" s="45" t="s">
        <v>118</v>
      </c>
      <c r="BG183" s="23" t="s">
        <v>115</v>
      </c>
      <c r="BH183" s="46"/>
      <c r="BI183" s="25" t="s">
        <v>117</v>
      </c>
      <c r="BJ183" s="46"/>
      <c r="BK183" s="25" t="s">
        <v>117</v>
      </c>
      <c r="BL183" s="46"/>
      <c r="BM183" s="25" t="s">
        <v>117</v>
      </c>
      <c r="BN183" s="46"/>
      <c r="BO183" s="25" t="s">
        <v>117</v>
      </c>
      <c r="BP183" s="46"/>
      <c r="BQ183" s="25" t="s">
        <v>117</v>
      </c>
      <c r="BR183" s="46"/>
      <c r="BS183" s="25" t="s">
        <v>117</v>
      </c>
      <c r="BT183" s="46"/>
      <c r="BU183" s="25" t="s">
        <v>117</v>
      </c>
      <c r="BV183" s="46"/>
      <c r="BW183" s="25" t="s">
        <v>117</v>
      </c>
      <c r="BX183" s="46"/>
      <c r="BY183" s="25" t="s">
        <v>117</v>
      </c>
      <c r="BZ183" s="46"/>
      <c r="CA183" s="25" t="s">
        <v>117</v>
      </c>
      <c r="CB183" s="46"/>
      <c r="CC183" s="25" t="s">
        <v>117</v>
      </c>
      <c r="CD183" s="46"/>
      <c r="CE183" s="25" t="s">
        <v>117</v>
      </c>
      <c r="CF183" s="46"/>
      <c r="CG183" s="25" t="s">
        <v>117</v>
      </c>
      <c r="CH183" s="46"/>
      <c r="CI183" s="25"/>
      <c r="CJ183" s="46"/>
      <c r="CK183" s="48" t="s">
        <v>117</v>
      </c>
      <c r="CL183" s="46"/>
      <c r="CM183" s="48" t="s">
        <v>117</v>
      </c>
      <c r="CN183" s="46"/>
      <c r="CO183" s="25" t="s">
        <v>117</v>
      </c>
      <c r="CP183" s="30">
        <v>400</v>
      </c>
      <c r="CQ183" s="23" t="s">
        <v>115</v>
      </c>
      <c r="CR183" s="32"/>
      <c r="CS183" s="23" t="s">
        <v>117</v>
      </c>
      <c r="CT183" s="32"/>
      <c r="CU183" s="23" t="s">
        <v>117</v>
      </c>
      <c r="CV183" s="32"/>
      <c r="CW183" s="23" t="s">
        <v>117</v>
      </c>
      <c r="CX183" s="32"/>
      <c r="CY183" s="25" t="s">
        <v>117</v>
      </c>
      <c r="CZ183" s="32"/>
      <c r="DA183" s="25" t="s">
        <v>117</v>
      </c>
      <c r="DB183" s="33" t="s">
        <v>120</v>
      </c>
      <c r="DC183" s="25" t="s">
        <v>116</v>
      </c>
      <c r="DD183" s="34">
        <f t="shared" si="42"/>
        <v>705</v>
      </c>
      <c r="DE183" t="s">
        <v>1564</v>
      </c>
      <c r="DF183" t="str">
        <f t="shared" si="43"/>
        <v>Malta#Trust#Malta Trust</v>
      </c>
      <c r="DG183" t="b">
        <f t="shared" si="44"/>
        <v>1</v>
      </c>
    </row>
    <row r="184" spans="1:111" ht="78.75" customHeight="1" x14ac:dyDescent="0.35">
      <c r="A184" s="35" t="s">
        <v>1547</v>
      </c>
      <c r="B184" s="42" t="s">
        <v>1565</v>
      </c>
      <c r="C184" s="35" t="s">
        <v>141</v>
      </c>
      <c r="D184" s="36" t="s">
        <v>1566</v>
      </c>
      <c r="E184" s="35" t="s">
        <v>90</v>
      </c>
      <c r="F184" s="20" t="s">
        <v>1567</v>
      </c>
      <c r="G184" s="20" t="s">
        <v>1568</v>
      </c>
      <c r="H184" s="20" t="s">
        <v>1394</v>
      </c>
      <c r="I184" s="20" t="s">
        <v>146</v>
      </c>
      <c r="J184" s="20" t="s">
        <v>1551</v>
      </c>
      <c r="K184" s="20" t="s">
        <v>96</v>
      </c>
      <c r="L184" s="20" t="s">
        <v>97</v>
      </c>
      <c r="M184" s="20" t="s">
        <v>98</v>
      </c>
      <c r="N184" s="20" t="s">
        <v>147</v>
      </c>
      <c r="O184" s="20" t="s">
        <v>148</v>
      </c>
      <c r="P184" s="20" t="s">
        <v>149</v>
      </c>
      <c r="Q184" s="20" t="s">
        <v>150</v>
      </c>
      <c r="R184" s="20" t="s">
        <v>151</v>
      </c>
      <c r="S184" s="20" t="s">
        <v>152</v>
      </c>
      <c r="T184" s="20" t="s">
        <v>153</v>
      </c>
      <c r="U184" s="20" t="s">
        <v>154</v>
      </c>
      <c r="V184" s="21" t="s">
        <v>1524</v>
      </c>
      <c r="W184" s="21" t="s">
        <v>1553</v>
      </c>
      <c r="X184" s="21" t="s">
        <v>109</v>
      </c>
      <c r="Y184" s="21" t="s">
        <v>1569</v>
      </c>
      <c r="Z184" s="21" t="s">
        <v>256</v>
      </c>
      <c r="AA184" s="21" t="s">
        <v>112</v>
      </c>
      <c r="AB184" s="21" t="s">
        <v>1570</v>
      </c>
      <c r="AC184" s="21" t="s">
        <v>1571</v>
      </c>
      <c r="AE184" s="23" t="s">
        <v>115</v>
      </c>
      <c r="AF184" s="38"/>
      <c r="AG184" s="23" t="s">
        <v>116</v>
      </c>
      <c r="AH184" s="38"/>
      <c r="AI184" s="25" t="s">
        <v>117</v>
      </c>
      <c r="AJ184" s="38"/>
      <c r="AK184" s="25" t="s">
        <v>117</v>
      </c>
      <c r="AL184" s="22">
        <v>0</v>
      </c>
      <c r="AM184" s="23" t="s">
        <v>115</v>
      </c>
      <c r="AN184" s="38"/>
      <c r="AO184" s="25" t="s">
        <v>117</v>
      </c>
      <c r="AP184" s="39" t="s">
        <v>118</v>
      </c>
      <c r="AQ184" s="23" t="s">
        <v>115</v>
      </c>
      <c r="AR184" s="40"/>
      <c r="AS184" s="23" t="s">
        <v>117</v>
      </c>
      <c r="AT184" s="39" t="s">
        <v>118</v>
      </c>
      <c r="AU184" s="23" t="s">
        <v>116</v>
      </c>
      <c r="AV184" s="39" t="s">
        <v>118</v>
      </c>
      <c r="AW184" s="23" t="s">
        <v>115</v>
      </c>
      <c r="AX184" s="39" t="s">
        <v>118</v>
      </c>
      <c r="AY184" s="23" t="s">
        <v>115</v>
      </c>
      <c r="AZ184" s="39" t="s">
        <v>118</v>
      </c>
      <c r="BA184" s="23" t="s">
        <v>115</v>
      </c>
      <c r="BB184" s="40"/>
      <c r="BC184" s="23" t="s">
        <v>115</v>
      </c>
      <c r="BD184" s="39" t="s">
        <v>118</v>
      </c>
      <c r="BE184" s="23" t="s">
        <v>115</v>
      </c>
      <c r="BF184" s="39" t="s">
        <v>118</v>
      </c>
      <c r="BG184" s="23" t="s">
        <v>115</v>
      </c>
      <c r="BH184" s="40"/>
      <c r="BI184" s="25" t="s">
        <v>117</v>
      </c>
      <c r="BJ184" s="40"/>
      <c r="BK184" s="25" t="s">
        <v>117</v>
      </c>
      <c r="BL184" s="40"/>
      <c r="BM184" s="25" t="s">
        <v>117</v>
      </c>
      <c r="BN184" s="40"/>
      <c r="BO184" s="25" t="s">
        <v>117</v>
      </c>
      <c r="BP184" s="40"/>
      <c r="BQ184" s="25" t="s">
        <v>117</v>
      </c>
      <c r="BR184" s="37">
        <v>15000</v>
      </c>
      <c r="BS184" s="25" t="s">
        <v>115</v>
      </c>
      <c r="BT184" s="40"/>
      <c r="BU184" s="25" t="s">
        <v>117</v>
      </c>
      <c r="BV184" s="40"/>
      <c r="BW184" s="25" t="s">
        <v>117</v>
      </c>
      <c r="BX184" s="40"/>
      <c r="BY184" s="25" t="s">
        <v>117</v>
      </c>
      <c r="BZ184" s="46"/>
      <c r="CA184" s="25" t="s">
        <v>117</v>
      </c>
      <c r="CB184" s="45" t="s">
        <v>159</v>
      </c>
      <c r="CC184" s="25" t="s">
        <v>116</v>
      </c>
      <c r="CD184" s="40"/>
      <c r="CE184" s="25" t="s">
        <v>117</v>
      </c>
      <c r="CF184" s="40"/>
      <c r="CG184" s="25" t="s">
        <v>117</v>
      </c>
      <c r="CH184" s="151">
        <v>5000</v>
      </c>
      <c r="CI184" s="25" t="s">
        <v>116</v>
      </c>
      <c r="CJ184" s="151">
        <v>2500</v>
      </c>
      <c r="CK184" s="48" t="s">
        <v>116</v>
      </c>
      <c r="CL184" s="46">
        <v>1500</v>
      </c>
      <c r="CM184" s="48" t="s">
        <v>116</v>
      </c>
      <c r="CN184" s="46">
        <v>1500</v>
      </c>
      <c r="CO184" s="25" t="s">
        <v>116</v>
      </c>
      <c r="CP184" s="30">
        <v>400</v>
      </c>
      <c r="CQ184" s="23" t="s">
        <v>115</v>
      </c>
      <c r="CR184" s="32"/>
      <c r="CS184" s="23" t="s">
        <v>117</v>
      </c>
      <c r="CT184" s="32"/>
      <c r="CU184" s="23" t="s">
        <v>117</v>
      </c>
      <c r="CV184" s="32"/>
      <c r="CW184" s="23" t="s">
        <v>117</v>
      </c>
      <c r="CX184" s="32"/>
      <c r="CY184" s="25" t="s">
        <v>117</v>
      </c>
      <c r="CZ184" s="32"/>
      <c r="DA184" s="25" t="s">
        <v>117</v>
      </c>
      <c r="DB184" s="33" t="s">
        <v>120</v>
      </c>
      <c r="DC184" s="25" t="s">
        <v>116</v>
      </c>
      <c r="DD184" s="34">
        <f t="shared" si="42"/>
        <v>1568</v>
      </c>
      <c r="DE184" t="s">
        <v>1572</v>
      </c>
      <c r="DF184" t="str">
        <f t="shared" si="43"/>
        <v>Malta#Fund#Malta SICAV</v>
      </c>
      <c r="DG184" t="b">
        <f t="shared" si="44"/>
        <v>1</v>
      </c>
    </row>
    <row r="185" spans="1:111" ht="78.75" customHeight="1" x14ac:dyDescent="0.35">
      <c r="A185" s="42" t="s">
        <v>1547</v>
      </c>
      <c r="B185" s="42" t="s">
        <v>1548</v>
      </c>
      <c r="C185" s="42" t="s">
        <v>141</v>
      </c>
      <c r="D185" s="43" t="s">
        <v>1573</v>
      </c>
      <c r="E185" s="42" t="s">
        <v>90</v>
      </c>
      <c r="F185" s="20" t="s">
        <v>1574</v>
      </c>
      <c r="G185" s="20" t="s">
        <v>1575</v>
      </c>
      <c r="H185" s="20" t="s">
        <v>1394</v>
      </c>
      <c r="I185" s="20" t="s">
        <v>146</v>
      </c>
      <c r="J185" s="20" t="s">
        <v>1551</v>
      </c>
      <c r="K185" s="20" t="s">
        <v>96</v>
      </c>
      <c r="L185" s="20" t="s">
        <v>97</v>
      </c>
      <c r="M185" s="20" t="s">
        <v>98</v>
      </c>
      <c r="N185" s="20" t="s">
        <v>147</v>
      </c>
      <c r="O185" s="20" t="s">
        <v>148</v>
      </c>
      <c r="P185" s="20" t="s">
        <v>149</v>
      </c>
      <c r="Q185" s="20" t="s">
        <v>150</v>
      </c>
      <c r="R185" s="20" t="s">
        <v>151</v>
      </c>
      <c r="S185" s="20" t="s">
        <v>152</v>
      </c>
      <c r="T185" s="20" t="s">
        <v>153</v>
      </c>
      <c r="U185" s="20" t="s">
        <v>154</v>
      </c>
      <c r="V185" s="21" t="s">
        <v>267</v>
      </c>
      <c r="W185" s="21" t="s">
        <v>1553</v>
      </c>
      <c r="X185" s="21" t="s">
        <v>109</v>
      </c>
      <c r="Y185" s="21" t="s">
        <v>1576</v>
      </c>
      <c r="Z185" s="21" t="s">
        <v>256</v>
      </c>
      <c r="AA185" s="21" t="s">
        <v>112</v>
      </c>
      <c r="AB185" s="21" t="s">
        <v>1577</v>
      </c>
      <c r="AC185" s="21" t="s">
        <v>1578</v>
      </c>
      <c r="AE185" s="23" t="s">
        <v>115</v>
      </c>
      <c r="AF185" s="44"/>
      <c r="AG185" s="23" t="s">
        <v>116</v>
      </c>
      <c r="AH185" s="44"/>
      <c r="AI185" s="25" t="s">
        <v>117</v>
      </c>
      <c r="AJ185" s="44"/>
      <c r="AK185" s="25" t="s">
        <v>117</v>
      </c>
      <c r="AL185" s="22">
        <v>0</v>
      </c>
      <c r="AM185" s="23" t="s">
        <v>115</v>
      </c>
      <c r="AN185" s="44"/>
      <c r="AO185" s="25" t="s">
        <v>117</v>
      </c>
      <c r="AP185" s="45" t="s">
        <v>118</v>
      </c>
      <c r="AQ185" s="23" t="s">
        <v>115</v>
      </c>
      <c r="AR185" s="46"/>
      <c r="AS185" s="23" t="s">
        <v>117</v>
      </c>
      <c r="AT185" s="45" t="s">
        <v>118</v>
      </c>
      <c r="AU185" s="23" t="s">
        <v>116</v>
      </c>
      <c r="AV185" s="45" t="s">
        <v>118</v>
      </c>
      <c r="AW185" s="23" t="s">
        <v>115</v>
      </c>
      <c r="AX185" s="45" t="s">
        <v>118</v>
      </c>
      <c r="AY185" s="23" t="s">
        <v>115</v>
      </c>
      <c r="AZ185" s="45" t="s">
        <v>118</v>
      </c>
      <c r="BA185" s="23" t="s">
        <v>115</v>
      </c>
      <c r="BB185" s="46"/>
      <c r="BC185" s="23" t="s">
        <v>115</v>
      </c>
      <c r="BD185" s="45" t="s">
        <v>118</v>
      </c>
      <c r="BE185" s="23" t="s">
        <v>115</v>
      </c>
      <c r="BF185" s="45" t="s">
        <v>118</v>
      </c>
      <c r="BG185" s="23" t="s">
        <v>115</v>
      </c>
      <c r="BH185" s="46"/>
      <c r="BI185" s="25" t="s">
        <v>117</v>
      </c>
      <c r="BJ185" s="46"/>
      <c r="BK185" s="25" t="s">
        <v>117</v>
      </c>
      <c r="BL185" s="46"/>
      <c r="BM185" s="25" t="s">
        <v>117</v>
      </c>
      <c r="BN185" s="46"/>
      <c r="BO185" s="25" t="s">
        <v>117</v>
      </c>
      <c r="BP185" s="46"/>
      <c r="BQ185" s="25" t="s">
        <v>117</v>
      </c>
      <c r="BR185" s="47">
        <v>15000</v>
      </c>
      <c r="BS185" s="25" t="s">
        <v>115</v>
      </c>
      <c r="BT185" s="46"/>
      <c r="BU185" s="25" t="s">
        <v>117</v>
      </c>
      <c r="BV185" s="46"/>
      <c r="BW185" s="25" t="s">
        <v>117</v>
      </c>
      <c r="BX185" s="46"/>
      <c r="BY185" s="25" t="s">
        <v>117</v>
      </c>
      <c r="BZ185" s="46"/>
      <c r="CA185" s="25" t="s">
        <v>117</v>
      </c>
      <c r="CB185" s="45" t="s">
        <v>159</v>
      </c>
      <c r="CC185" s="25" t="s">
        <v>116</v>
      </c>
      <c r="CD185" s="46"/>
      <c r="CE185" s="25" t="s">
        <v>117</v>
      </c>
      <c r="CF185" s="46"/>
      <c r="CG185" s="25" t="s">
        <v>117</v>
      </c>
      <c r="CH185" s="151">
        <v>5000</v>
      </c>
      <c r="CI185" s="25" t="s">
        <v>116</v>
      </c>
      <c r="CJ185" s="151">
        <v>2500</v>
      </c>
      <c r="CK185" s="48" t="s">
        <v>116</v>
      </c>
      <c r="CL185" s="46">
        <v>1500</v>
      </c>
      <c r="CM185" s="48" t="s">
        <v>116</v>
      </c>
      <c r="CN185" s="46">
        <v>1500</v>
      </c>
      <c r="CO185" s="25" t="s">
        <v>116</v>
      </c>
      <c r="CP185" s="30">
        <v>400</v>
      </c>
      <c r="CQ185" s="23" t="s">
        <v>115</v>
      </c>
      <c r="CR185" s="32"/>
      <c r="CS185" s="23" t="s">
        <v>117</v>
      </c>
      <c r="CT185" s="32"/>
      <c r="CU185" s="23" t="s">
        <v>117</v>
      </c>
      <c r="CV185" s="32"/>
      <c r="CW185" s="23" t="s">
        <v>117</v>
      </c>
      <c r="CX185" s="32"/>
      <c r="CY185" s="25" t="s">
        <v>117</v>
      </c>
      <c r="CZ185" s="32"/>
      <c r="DA185" s="25" t="s">
        <v>117</v>
      </c>
      <c r="DB185" s="33" t="s">
        <v>120</v>
      </c>
      <c r="DC185" s="25" t="s">
        <v>116</v>
      </c>
      <c r="DD185" s="34">
        <f t="shared" si="42"/>
        <v>1568</v>
      </c>
      <c r="DE185" t="s">
        <v>1579</v>
      </c>
      <c r="DF185" t="str">
        <f t="shared" si="43"/>
        <v>Malta#Fund#Malta INVCO</v>
      </c>
      <c r="DG185" t="b">
        <f t="shared" si="44"/>
        <v>1</v>
      </c>
    </row>
    <row r="186" spans="1:111" ht="78.75" customHeight="1" x14ac:dyDescent="0.35">
      <c r="A186" s="35" t="s">
        <v>1547</v>
      </c>
      <c r="B186" s="42" t="s">
        <v>1548</v>
      </c>
      <c r="C186" s="35" t="s">
        <v>141</v>
      </c>
      <c r="D186" s="36" t="s">
        <v>1580</v>
      </c>
      <c r="E186" s="35" t="s">
        <v>90</v>
      </c>
      <c r="F186" s="20" t="s">
        <v>355</v>
      </c>
      <c r="G186" s="20" t="s">
        <v>1581</v>
      </c>
      <c r="H186" s="20" t="s">
        <v>1394</v>
      </c>
      <c r="I186" s="20" t="s">
        <v>146</v>
      </c>
      <c r="J186" s="20" t="s">
        <v>1551</v>
      </c>
      <c r="K186" s="20" t="s">
        <v>96</v>
      </c>
      <c r="L186" s="20" t="s">
        <v>97</v>
      </c>
      <c r="M186" s="20" t="s">
        <v>98</v>
      </c>
      <c r="N186" s="20" t="s">
        <v>147</v>
      </c>
      <c r="O186" s="20" t="s">
        <v>148</v>
      </c>
      <c r="P186" s="20" t="s">
        <v>149</v>
      </c>
      <c r="Q186" s="20" t="s">
        <v>150</v>
      </c>
      <c r="R186" s="20" t="s">
        <v>151</v>
      </c>
      <c r="S186" s="20" t="s">
        <v>152</v>
      </c>
      <c r="T186" s="20" t="s">
        <v>153</v>
      </c>
      <c r="U186" s="20" t="s">
        <v>154</v>
      </c>
      <c r="V186" s="21" t="s">
        <v>292</v>
      </c>
      <c r="W186" s="21" t="s">
        <v>203</v>
      </c>
      <c r="X186" s="21" t="s">
        <v>164</v>
      </c>
      <c r="Y186" s="21" t="s">
        <v>1582</v>
      </c>
      <c r="Z186" s="21" t="s">
        <v>256</v>
      </c>
      <c r="AA186" s="21" t="s">
        <v>166</v>
      </c>
      <c r="AB186" s="21" t="s">
        <v>1583</v>
      </c>
      <c r="AC186" s="21" t="s">
        <v>1584</v>
      </c>
      <c r="AE186" s="23" t="s">
        <v>115</v>
      </c>
      <c r="AF186" s="38"/>
      <c r="AG186" s="23" t="s">
        <v>116</v>
      </c>
      <c r="AH186" s="38"/>
      <c r="AI186" s="25" t="s">
        <v>117</v>
      </c>
      <c r="AJ186" s="38"/>
      <c r="AK186" s="25" t="s">
        <v>117</v>
      </c>
      <c r="AL186" s="22">
        <v>0</v>
      </c>
      <c r="AM186" s="23" t="s">
        <v>115</v>
      </c>
      <c r="AN186" s="38"/>
      <c r="AO186" s="25" t="s">
        <v>117</v>
      </c>
      <c r="AP186" s="39" t="s">
        <v>118</v>
      </c>
      <c r="AQ186" s="23" t="s">
        <v>115</v>
      </c>
      <c r="AR186" s="40"/>
      <c r="AS186" s="23" t="s">
        <v>117</v>
      </c>
      <c r="AT186" s="39" t="s">
        <v>118</v>
      </c>
      <c r="AU186" s="23" t="s">
        <v>116</v>
      </c>
      <c r="AV186" s="39" t="s">
        <v>118</v>
      </c>
      <c r="AW186" s="23" t="s">
        <v>115</v>
      </c>
      <c r="AX186" s="39" t="s">
        <v>118</v>
      </c>
      <c r="AY186" s="23" t="s">
        <v>115</v>
      </c>
      <c r="AZ186" s="39" t="s">
        <v>118</v>
      </c>
      <c r="BA186" s="23" t="s">
        <v>115</v>
      </c>
      <c r="BB186" s="40"/>
      <c r="BC186" s="23" t="s">
        <v>115</v>
      </c>
      <c r="BD186" s="39" t="s">
        <v>118</v>
      </c>
      <c r="BE186" s="23" t="s">
        <v>115</v>
      </c>
      <c r="BF186" s="39" t="s">
        <v>118</v>
      </c>
      <c r="BG186" s="23" t="s">
        <v>115</v>
      </c>
      <c r="BH186" s="40"/>
      <c r="BI186" s="25" t="s">
        <v>117</v>
      </c>
      <c r="BJ186" s="40"/>
      <c r="BK186" s="25" t="s">
        <v>117</v>
      </c>
      <c r="BL186" s="40"/>
      <c r="BM186" s="25" t="s">
        <v>117</v>
      </c>
      <c r="BN186" s="40"/>
      <c r="BO186" s="25" t="s">
        <v>117</v>
      </c>
      <c r="BP186" s="40"/>
      <c r="BQ186" s="25" t="s">
        <v>117</v>
      </c>
      <c r="BR186" s="37">
        <v>15000</v>
      </c>
      <c r="BS186" s="25" t="s">
        <v>115</v>
      </c>
      <c r="BT186" s="40"/>
      <c r="BU186" s="25" t="s">
        <v>117</v>
      </c>
      <c r="BV186" s="40"/>
      <c r="BW186" s="25" t="s">
        <v>117</v>
      </c>
      <c r="BX186" s="40"/>
      <c r="BY186" s="25" t="s">
        <v>117</v>
      </c>
      <c r="BZ186" s="46"/>
      <c r="CA186" s="25" t="s">
        <v>117</v>
      </c>
      <c r="CB186" s="45" t="s">
        <v>159</v>
      </c>
      <c r="CC186" s="25" t="s">
        <v>116</v>
      </c>
      <c r="CD186" s="40"/>
      <c r="CE186" s="25" t="s">
        <v>117</v>
      </c>
      <c r="CF186" s="40"/>
      <c r="CG186" s="25" t="s">
        <v>117</v>
      </c>
      <c r="CH186" s="151">
        <v>5000</v>
      </c>
      <c r="CI186" s="25" t="s">
        <v>116</v>
      </c>
      <c r="CJ186" s="151">
        <v>2500</v>
      </c>
      <c r="CK186" s="48" t="s">
        <v>116</v>
      </c>
      <c r="CL186" s="46">
        <v>1500</v>
      </c>
      <c r="CM186" s="48" t="s">
        <v>116</v>
      </c>
      <c r="CN186" s="46">
        <v>1500</v>
      </c>
      <c r="CO186" s="25" t="s">
        <v>116</v>
      </c>
      <c r="CP186" s="30">
        <v>400</v>
      </c>
      <c r="CQ186" s="23" t="s">
        <v>115</v>
      </c>
      <c r="CR186" s="32"/>
      <c r="CS186" s="23" t="s">
        <v>117</v>
      </c>
      <c r="CT186" s="32"/>
      <c r="CU186" s="23" t="s">
        <v>117</v>
      </c>
      <c r="CV186" s="32"/>
      <c r="CW186" s="23" t="s">
        <v>117</v>
      </c>
      <c r="CX186" s="32"/>
      <c r="CY186" s="25" t="s">
        <v>117</v>
      </c>
      <c r="CZ186" s="32"/>
      <c r="DA186" s="25" t="s">
        <v>117</v>
      </c>
      <c r="DB186" s="33" t="s">
        <v>120</v>
      </c>
      <c r="DC186" s="25" t="s">
        <v>116</v>
      </c>
      <c r="DD186" s="34">
        <f t="shared" si="42"/>
        <v>1568</v>
      </c>
      <c r="DE186" t="s">
        <v>1585</v>
      </c>
      <c r="DF186" t="str">
        <f t="shared" si="43"/>
        <v>Malta#Fund#Malta LP</v>
      </c>
      <c r="DG186" t="b">
        <f t="shared" si="44"/>
        <v>1</v>
      </c>
    </row>
    <row r="187" spans="1:111" ht="78.75" customHeight="1" x14ac:dyDescent="0.35">
      <c r="A187" s="42" t="s">
        <v>1547</v>
      </c>
      <c r="B187" s="42" t="s">
        <v>1548</v>
      </c>
      <c r="C187" s="42" t="s">
        <v>141</v>
      </c>
      <c r="D187" s="43" t="s">
        <v>1586</v>
      </c>
      <c r="E187" s="42" t="s">
        <v>90</v>
      </c>
      <c r="F187" s="20" t="s">
        <v>171</v>
      </c>
      <c r="G187" s="20" t="s">
        <v>1587</v>
      </c>
      <c r="H187" s="20" t="s">
        <v>1394</v>
      </c>
      <c r="I187" s="20" t="s">
        <v>146</v>
      </c>
      <c r="J187" s="20" t="s">
        <v>1551</v>
      </c>
      <c r="K187" s="20" t="s">
        <v>96</v>
      </c>
      <c r="L187" s="20" t="s">
        <v>97</v>
      </c>
      <c r="M187" s="20" t="s">
        <v>98</v>
      </c>
      <c r="N187" s="20" t="s">
        <v>147</v>
      </c>
      <c r="O187" s="20" t="s">
        <v>148</v>
      </c>
      <c r="P187" s="20" t="s">
        <v>149</v>
      </c>
      <c r="Q187" s="20" t="s">
        <v>150</v>
      </c>
      <c r="R187" s="20" t="s">
        <v>151</v>
      </c>
      <c r="S187" s="20" t="s">
        <v>152</v>
      </c>
      <c r="T187" s="20" t="s">
        <v>153</v>
      </c>
      <c r="U187" s="20" t="s">
        <v>154</v>
      </c>
      <c r="V187" s="21" t="s">
        <v>267</v>
      </c>
      <c r="W187" s="21" t="s">
        <v>1553</v>
      </c>
      <c r="X187" s="21" t="s">
        <v>109</v>
      </c>
      <c r="Y187" s="21" t="s">
        <v>1576</v>
      </c>
      <c r="Z187" s="21" t="s">
        <v>256</v>
      </c>
      <c r="AA187" s="21" t="s">
        <v>1086</v>
      </c>
      <c r="AB187" s="21" t="s">
        <v>1588</v>
      </c>
      <c r="AC187" s="21" t="s">
        <v>1589</v>
      </c>
      <c r="AE187" s="23" t="s">
        <v>115</v>
      </c>
      <c r="AF187" s="44"/>
      <c r="AG187" s="23" t="s">
        <v>116</v>
      </c>
      <c r="AH187" s="44"/>
      <c r="AI187" s="25" t="s">
        <v>117</v>
      </c>
      <c r="AJ187" s="44"/>
      <c r="AK187" s="25" t="s">
        <v>117</v>
      </c>
      <c r="AL187" s="22">
        <v>0</v>
      </c>
      <c r="AM187" s="23" t="s">
        <v>115</v>
      </c>
      <c r="AN187" s="44"/>
      <c r="AO187" s="25" t="s">
        <v>117</v>
      </c>
      <c r="AP187" s="45" t="s">
        <v>118</v>
      </c>
      <c r="AQ187" s="23" t="s">
        <v>115</v>
      </c>
      <c r="AR187" s="46"/>
      <c r="AS187" s="23" t="s">
        <v>117</v>
      </c>
      <c r="AT187" s="45" t="s">
        <v>118</v>
      </c>
      <c r="AU187" s="23" t="s">
        <v>116</v>
      </c>
      <c r="AV187" s="45" t="s">
        <v>118</v>
      </c>
      <c r="AW187" s="23" t="s">
        <v>115</v>
      </c>
      <c r="AX187" s="45" t="s">
        <v>118</v>
      </c>
      <c r="AY187" s="23" t="s">
        <v>115</v>
      </c>
      <c r="AZ187" s="45" t="s">
        <v>118</v>
      </c>
      <c r="BA187" s="23" t="s">
        <v>115</v>
      </c>
      <c r="BB187" s="46"/>
      <c r="BC187" s="23" t="s">
        <v>115</v>
      </c>
      <c r="BD187" s="45" t="s">
        <v>118</v>
      </c>
      <c r="BE187" s="23" t="s">
        <v>115</v>
      </c>
      <c r="BF187" s="45" t="s">
        <v>118</v>
      </c>
      <c r="BG187" s="23" t="s">
        <v>115</v>
      </c>
      <c r="BH187" s="46"/>
      <c r="BI187" s="25" t="s">
        <v>117</v>
      </c>
      <c r="BJ187" s="46"/>
      <c r="BK187" s="25" t="s">
        <v>117</v>
      </c>
      <c r="BL187" s="46"/>
      <c r="BM187" s="25" t="s">
        <v>117</v>
      </c>
      <c r="BN187" s="46"/>
      <c r="BO187" s="25" t="s">
        <v>117</v>
      </c>
      <c r="BP187" s="46"/>
      <c r="BQ187" s="25" t="s">
        <v>117</v>
      </c>
      <c r="BR187" s="47">
        <v>15000</v>
      </c>
      <c r="BS187" s="25" t="s">
        <v>115</v>
      </c>
      <c r="BT187" s="46"/>
      <c r="BU187" s="25" t="s">
        <v>117</v>
      </c>
      <c r="BV187" s="46"/>
      <c r="BW187" s="25" t="s">
        <v>117</v>
      </c>
      <c r="BX187" s="46"/>
      <c r="BY187" s="25" t="s">
        <v>117</v>
      </c>
      <c r="BZ187" s="46"/>
      <c r="CA187" s="25" t="s">
        <v>117</v>
      </c>
      <c r="CB187" s="45" t="s">
        <v>159</v>
      </c>
      <c r="CC187" s="25" t="s">
        <v>116</v>
      </c>
      <c r="CD187" s="46"/>
      <c r="CE187" s="25" t="s">
        <v>117</v>
      </c>
      <c r="CF187" s="46"/>
      <c r="CG187" s="25" t="s">
        <v>117</v>
      </c>
      <c r="CH187" s="151">
        <v>5000</v>
      </c>
      <c r="CI187" s="25" t="s">
        <v>116</v>
      </c>
      <c r="CJ187" s="151">
        <v>2500</v>
      </c>
      <c r="CK187" s="48" t="s">
        <v>116</v>
      </c>
      <c r="CL187" s="46">
        <v>1500</v>
      </c>
      <c r="CM187" s="48" t="s">
        <v>116</v>
      </c>
      <c r="CN187" s="46">
        <v>1500</v>
      </c>
      <c r="CO187" s="25" t="s">
        <v>116</v>
      </c>
      <c r="CP187" s="30">
        <v>400</v>
      </c>
      <c r="CQ187" s="23" t="s">
        <v>115</v>
      </c>
      <c r="CR187" s="32"/>
      <c r="CS187" s="23" t="s">
        <v>117</v>
      </c>
      <c r="CT187" s="32"/>
      <c r="CU187" s="23" t="s">
        <v>117</v>
      </c>
      <c r="CV187" s="32"/>
      <c r="CW187" s="23" t="s">
        <v>117</v>
      </c>
      <c r="CX187" s="32"/>
      <c r="CY187" s="25" t="s">
        <v>117</v>
      </c>
      <c r="CZ187" s="32"/>
      <c r="DA187" s="25" t="s">
        <v>117</v>
      </c>
      <c r="DB187" s="33" t="s">
        <v>120</v>
      </c>
      <c r="DC187" s="25" t="s">
        <v>116</v>
      </c>
      <c r="DD187" s="34">
        <f t="shared" si="42"/>
        <v>1568</v>
      </c>
      <c r="DE187" t="s">
        <v>1590</v>
      </c>
      <c r="DF187" t="str">
        <f t="shared" si="43"/>
        <v>Malta#Fund#Malta Unit Trust</v>
      </c>
      <c r="DG187" t="b">
        <f t="shared" si="44"/>
        <v>1</v>
      </c>
    </row>
    <row r="188" spans="1:111" ht="157.5" customHeight="1" x14ac:dyDescent="0.35">
      <c r="A188" s="35" t="s">
        <v>1547</v>
      </c>
      <c r="B188" s="42" t="s">
        <v>1565</v>
      </c>
      <c r="C188" s="35" t="s">
        <v>141</v>
      </c>
      <c r="D188" s="36" t="s">
        <v>1591</v>
      </c>
      <c r="E188" s="35" t="s">
        <v>90</v>
      </c>
      <c r="F188" s="20" t="s">
        <v>867</v>
      </c>
      <c r="G188" s="20" t="s">
        <v>1592</v>
      </c>
      <c r="H188" s="20" t="s">
        <v>1394</v>
      </c>
      <c r="I188" s="20" t="s">
        <v>146</v>
      </c>
      <c r="J188" s="20" t="s">
        <v>1551</v>
      </c>
      <c r="K188" s="20" t="s">
        <v>96</v>
      </c>
      <c r="L188" s="20" t="s">
        <v>97</v>
      </c>
      <c r="M188" s="20" t="s">
        <v>98</v>
      </c>
      <c r="N188" s="20" t="s">
        <v>147</v>
      </c>
      <c r="O188" s="20" t="s">
        <v>148</v>
      </c>
      <c r="P188" s="20" t="s">
        <v>149</v>
      </c>
      <c r="Q188" s="20" t="s">
        <v>150</v>
      </c>
      <c r="R188" s="20" t="s">
        <v>151</v>
      </c>
      <c r="S188" s="20" t="s">
        <v>152</v>
      </c>
      <c r="T188" s="20" t="s">
        <v>153</v>
      </c>
      <c r="U188" s="20" t="s">
        <v>154</v>
      </c>
      <c r="V188" s="21" t="s">
        <v>267</v>
      </c>
      <c r="W188" s="21" t="s">
        <v>203</v>
      </c>
      <c r="X188" s="21" t="s">
        <v>772</v>
      </c>
      <c r="Y188" s="21" t="s">
        <v>1576</v>
      </c>
      <c r="Z188" s="21" t="s">
        <v>256</v>
      </c>
      <c r="AA188" s="21" t="s">
        <v>630</v>
      </c>
      <c r="AB188" s="21" t="s">
        <v>1593</v>
      </c>
      <c r="AC188" s="21" t="s">
        <v>1594</v>
      </c>
      <c r="AE188" s="23" t="s">
        <v>115</v>
      </c>
      <c r="AF188" s="38"/>
      <c r="AG188" s="23" t="s">
        <v>116</v>
      </c>
      <c r="AH188" s="38"/>
      <c r="AI188" s="25" t="s">
        <v>117</v>
      </c>
      <c r="AJ188" s="38"/>
      <c r="AK188" s="25" t="s">
        <v>117</v>
      </c>
      <c r="AL188" s="22">
        <v>0</v>
      </c>
      <c r="AM188" s="23" t="s">
        <v>115</v>
      </c>
      <c r="AN188" s="38"/>
      <c r="AO188" s="25" t="s">
        <v>117</v>
      </c>
      <c r="AP188" s="39" t="s">
        <v>118</v>
      </c>
      <c r="AQ188" s="23" t="s">
        <v>115</v>
      </c>
      <c r="AR188" s="40"/>
      <c r="AS188" s="23" t="s">
        <v>117</v>
      </c>
      <c r="AT188" s="39" t="s">
        <v>118</v>
      </c>
      <c r="AU188" s="23" t="s">
        <v>116</v>
      </c>
      <c r="AV188" s="39" t="s">
        <v>118</v>
      </c>
      <c r="AW188" s="23" t="s">
        <v>115</v>
      </c>
      <c r="AX188" s="39" t="s">
        <v>118</v>
      </c>
      <c r="AY188" s="23" t="s">
        <v>115</v>
      </c>
      <c r="AZ188" s="39" t="s">
        <v>118</v>
      </c>
      <c r="BA188" s="23" t="s">
        <v>115</v>
      </c>
      <c r="BB188" s="40"/>
      <c r="BC188" s="23" t="s">
        <v>115</v>
      </c>
      <c r="BD188" s="39" t="s">
        <v>118</v>
      </c>
      <c r="BE188" s="23" t="s">
        <v>115</v>
      </c>
      <c r="BF188" s="39" t="s">
        <v>118</v>
      </c>
      <c r="BG188" s="23" t="s">
        <v>115</v>
      </c>
      <c r="BH188" s="40"/>
      <c r="BI188" s="25" t="s">
        <v>117</v>
      </c>
      <c r="BJ188" s="40"/>
      <c r="BK188" s="25" t="s">
        <v>117</v>
      </c>
      <c r="BL188" s="40"/>
      <c r="BM188" s="25" t="s">
        <v>117</v>
      </c>
      <c r="BN188" s="40"/>
      <c r="BO188" s="25" t="s">
        <v>117</v>
      </c>
      <c r="BP188" s="40"/>
      <c r="BQ188" s="25" t="s">
        <v>117</v>
      </c>
      <c r="BR188" s="37">
        <v>15000</v>
      </c>
      <c r="BS188" s="25" t="s">
        <v>115</v>
      </c>
      <c r="BT188" s="40"/>
      <c r="BU188" s="25" t="s">
        <v>117</v>
      </c>
      <c r="BV188" s="40"/>
      <c r="BW188" s="25" t="s">
        <v>117</v>
      </c>
      <c r="BX188" s="40"/>
      <c r="BY188" s="25" t="s">
        <v>117</v>
      </c>
      <c r="BZ188" s="46"/>
      <c r="CA188" s="25" t="s">
        <v>117</v>
      </c>
      <c r="CB188" s="45" t="s">
        <v>159</v>
      </c>
      <c r="CC188" s="25" t="s">
        <v>116</v>
      </c>
      <c r="CD188" s="40"/>
      <c r="CE188" s="25" t="s">
        <v>117</v>
      </c>
      <c r="CF188" s="40"/>
      <c r="CG188" s="25" t="s">
        <v>117</v>
      </c>
      <c r="CH188" s="151">
        <v>5000</v>
      </c>
      <c r="CI188" s="25" t="s">
        <v>116</v>
      </c>
      <c r="CJ188" s="151">
        <v>2500</v>
      </c>
      <c r="CK188" s="48" t="s">
        <v>116</v>
      </c>
      <c r="CL188" s="46">
        <v>1500</v>
      </c>
      <c r="CM188" s="48" t="s">
        <v>116</v>
      </c>
      <c r="CN188" s="46">
        <v>1500</v>
      </c>
      <c r="CO188" s="25" t="s">
        <v>116</v>
      </c>
      <c r="CP188" s="30">
        <v>400</v>
      </c>
      <c r="CQ188" s="23" t="s">
        <v>115</v>
      </c>
      <c r="CR188" s="32"/>
      <c r="CS188" s="23" t="s">
        <v>117</v>
      </c>
      <c r="CT188" s="32"/>
      <c r="CU188" s="23" t="s">
        <v>117</v>
      </c>
      <c r="CV188" s="32"/>
      <c r="CW188" s="23" t="s">
        <v>117</v>
      </c>
      <c r="CX188" s="32"/>
      <c r="CY188" s="25" t="s">
        <v>117</v>
      </c>
      <c r="CZ188" s="32"/>
      <c r="DA188" s="25" t="s">
        <v>117</v>
      </c>
      <c r="DB188" s="33" t="s">
        <v>120</v>
      </c>
      <c r="DC188" s="25" t="s">
        <v>116</v>
      </c>
      <c r="DD188" s="34">
        <f t="shared" si="42"/>
        <v>1568</v>
      </c>
      <c r="DE188" t="s">
        <v>1595</v>
      </c>
      <c r="DF188" t="str">
        <f t="shared" si="43"/>
        <v>Malta#Fund#Malta CF</v>
      </c>
      <c r="DG188" t="b">
        <f t="shared" si="44"/>
        <v>1</v>
      </c>
    </row>
    <row r="189" spans="1:111" ht="78.75" customHeight="1" x14ac:dyDescent="0.35">
      <c r="A189" s="42" t="s">
        <v>1547</v>
      </c>
      <c r="B189" s="42" t="s">
        <v>1548</v>
      </c>
      <c r="C189" s="42" t="s">
        <v>141</v>
      </c>
      <c r="D189" s="43" t="s">
        <v>1596</v>
      </c>
      <c r="E189" s="42" t="s">
        <v>90</v>
      </c>
      <c r="F189" s="20" t="s">
        <v>1104</v>
      </c>
      <c r="G189" s="20" t="s">
        <v>1597</v>
      </c>
      <c r="H189" s="20" t="s">
        <v>1394</v>
      </c>
      <c r="I189" s="20" t="s">
        <v>146</v>
      </c>
      <c r="J189" s="20" t="s">
        <v>1551</v>
      </c>
      <c r="K189" s="20" t="s">
        <v>96</v>
      </c>
      <c r="L189" s="20" t="s">
        <v>97</v>
      </c>
      <c r="M189" s="20" t="s">
        <v>98</v>
      </c>
      <c r="N189" s="20" t="s">
        <v>147</v>
      </c>
      <c r="O189" s="20" t="s">
        <v>148</v>
      </c>
      <c r="P189" s="20" t="s">
        <v>149</v>
      </c>
      <c r="Q189" s="20" t="s">
        <v>150</v>
      </c>
      <c r="R189" s="20" t="s">
        <v>151</v>
      </c>
      <c r="S189" s="20" t="s">
        <v>152</v>
      </c>
      <c r="T189" s="20" t="s">
        <v>153</v>
      </c>
      <c r="U189" s="20" t="s">
        <v>154</v>
      </c>
      <c r="V189" s="21" t="s">
        <v>180</v>
      </c>
      <c r="W189" s="21" t="s">
        <v>1553</v>
      </c>
      <c r="X189" s="21" t="s">
        <v>1106</v>
      </c>
      <c r="Y189" s="21" t="s">
        <v>1598</v>
      </c>
      <c r="Z189" s="21" t="s">
        <v>256</v>
      </c>
      <c r="AA189" s="21" t="s">
        <v>112</v>
      </c>
      <c r="AB189" s="21" t="s">
        <v>1599</v>
      </c>
      <c r="AC189" s="21" t="s">
        <v>1600</v>
      </c>
      <c r="AE189" s="23" t="s">
        <v>115</v>
      </c>
      <c r="AF189" s="44"/>
      <c r="AG189" s="23" t="s">
        <v>116</v>
      </c>
      <c r="AH189" s="44"/>
      <c r="AI189" s="25" t="s">
        <v>117</v>
      </c>
      <c r="AJ189" s="44"/>
      <c r="AK189" s="25" t="s">
        <v>117</v>
      </c>
      <c r="AL189" s="22">
        <v>0</v>
      </c>
      <c r="AM189" s="23" t="s">
        <v>115</v>
      </c>
      <c r="AN189" s="44"/>
      <c r="AO189" s="25" t="s">
        <v>117</v>
      </c>
      <c r="AP189" s="45" t="s">
        <v>118</v>
      </c>
      <c r="AQ189" s="23" t="s">
        <v>115</v>
      </c>
      <c r="AR189" s="46"/>
      <c r="AS189" s="23" t="s">
        <v>117</v>
      </c>
      <c r="AT189" s="45" t="s">
        <v>118</v>
      </c>
      <c r="AU189" s="23" t="s">
        <v>116</v>
      </c>
      <c r="AV189" s="45" t="s">
        <v>118</v>
      </c>
      <c r="AW189" s="23" t="s">
        <v>115</v>
      </c>
      <c r="AX189" s="45" t="s">
        <v>118</v>
      </c>
      <c r="AY189" s="23" t="s">
        <v>115</v>
      </c>
      <c r="AZ189" s="45" t="s">
        <v>118</v>
      </c>
      <c r="BA189" s="23" t="s">
        <v>115</v>
      </c>
      <c r="BB189" s="46"/>
      <c r="BC189" s="23" t="s">
        <v>115</v>
      </c>
      <c r="BD189" s="45" t="s">
        <v>118</v>
      </c>
      <c r="BE189" s="23" t="s">
        <v>115</v>
      </c>
      <c r="BF189" s="45" t="s">
        <v>118</v>
      </c>
      <c r="BG189" s="23" t="s">
        <v>115</v>
      </c>
      <c r="BH189" s="46"/>
      <c r="BI189" s="25" t="s">
        <v>117</v>
      </c>
      <c r="BJ189" s="46"/>
      <c r="BK189" s="25" t="s">
        <v>117</v>
      </c>
      <c r="BL189" s="46"/>
      <c r="BM189" s="25" t="s">
        <v>117</v>
      </c>
      <c r="BN189" s="46"/>
      <c r="BO189" s="25" t="s">
        <v>117</v>
      </c>
      <c r="BP189" s="46"/>
      <c r="BQ189" s="25" t="s">
        <v>117</v>
      </c>
      <c r="BR189" s="47">
        <v>15000</v>
      </c>
      <c r="BS189" s="25" t="s">
        <v>115</v>
      </c>
      <c r="BT189" s="46"/>
      <c r="BU189" s="25" t="s">
        <v>117</v>
      </c>
      <c r="BV189" s="46"/>
      <c r="BW189" s="25" t="s">
        <v>117</v>
      </c>
      <c r="BX189" s="46"/>
      <c r="BY189" s="25" t="s">
        <v>117</v>
      </c>
      <c r="BZ189" s="46"/>
      <c r="CA189" s="25" t="s">
        <v>117</v>
      </c>
      <c r="CB189" s="45" t="s">
        <v>159</v>
      </c>
      <c r="CC189" s="25" t="s">
        <v>116</v>
      </c>
      <c r="CD189" s="46"/>
      <c r="CE189" s="25" t="s">
        <v>117</v>
      </c>
      <c r="CF189" s="46"/>
      <c r="CG189" s="25" t="s">
        <v>117</v>
      </c>
      <c r="CH189" s="151">
        <v>5000</v>
      </c>
      <c r="CI189" s="25" t="s">
        <v>116</v>
      </c>
      <c r="CJ189" s="151">
        <v>2500</v>
      </c>
      <c r="CK189" s="48" t="s">
        <v>116</v>
      </c>
      <c r="CL189" s="46">
        <v>1500</v>
      </c>
      <c r="CM189" s="48" t="s">
        <v>116</v>
      </c>
      <c r="CN189" s="46">
        <v>1500</v>
      </c>
      <c r="CO189" s="25" t="s">
        <v>116</v>
      </c>
      <c r="CP189" s="30">
        <v>400</v>
      </c>
      <c r="CQ189" s="23" t="s">
        <v>115</v>
      </c>
      <c r="CR189" s="32"/>
      <c r="CS189" s="23" t="s">
        <v>117</v>
      </c>
      <c r="CT189" s="32"/>
      <c r="CU189" s="23" t="s">
        <v>117</v>
      </c>
      <c r="CV189" s="32"/>
      <c r="CW189" s="23" t="s">
        <v>117</v>
      </c>
      <c r="CX189" s="32"/>
      <c r="CY189" s="25" t="s">
        <v>117</v>
      </c>
      <c r="CZ189" s="32"/>
      <c r="DA189" s="25" t="s">
        <v>117</v>
      </c>
      <c r="DB189" s="33" t="s">
        <v>120</v>
      </c>
      <c r="DC189" s="25" t="s">
        <v>116</v>
      </c>
      <c r="DD189" s="34">
        <f t="shared" si="42"/>
        <v>1568</v>
      </c>
      <c r="DE189" t="s">
        <v>1601</v>
      </c>
      <c r="DF189" t="str">
        <f t="shared" si="43"/>
        <v>Malta#Fund#Malta ICC</v>
      </c>
      <c r="DG189" t="b">
        <f t="shared" si="44"/>
        <v>1</v>
      </c>
    </row>
    <row r="190" spans="1:111" ht="71.25" customHeight="1" x14ac:dyDescent="0.35">
      <c r="A190" s="35" t="s">
        <v>1547</v>
      </c>
      <c r="B190" s="42" t="s">
        <v>1548</v>
      </c>
      <c r="C190" s="35" t="s">
        <v>141</v>
      </c>
      <c r="D190" s="36" t="s">
        <v>1602</v>
      </c>
      <c r="E190" s="35" t="s">
        <v>90</v>
      </c>
      <c r="F190" s="20" t="s">
        <v>1603</v>
      </c>
      <c r="G190" s="20" t="s">
        <v>1604</v>
      </c>
      <c r="H190" s="20" t="s">
        <v>1394</v>
      </c>
      <c r="I190" s="20" t="s">
        <v>146</v>
      </c>
      <c r="J190" s="20" t="s">
        <v>1551</v>
      </c>
      <c r="K190" s="20" t="s">
        <v>96</v>
      </c>
      <c r="L190" s="20" t="s">
        <v>97</v>
      </c>
      <c r="M190" s="20" t="s">
        <v>98</v>
      </c>
      <c r="N190" s="20" t="s">
        <v>147</v>
      </c>
      <c r="O190" s="20" t="s">
        <v>148</v>
      </c>
      <c r="P190" s="20" t="s">
        <v>149</v>
      </c>
      <c r="Q190" s="20" t="s">
        <v>150</v>
      </c>
      <c r="R190" s="20" t="s">
        <v>151</v>
      </c>
      <c r="S190" s="20" t="s">
        <v>152</v>
      </c>
      <c r="T190" s="20" t="s">
        <v>153</v>
      </c>
      <c r="U190" s="20" t="s">
        <v>154</v>
      </c>
      <c r="V190" s="21" t="s">
        <v>180</v>
      </c>
      <c r="W190" s="21" t="s">
        <v>1553</v>
      </c>
      <c r="X190" s="21" t="s">
        <v>1605</v>
      </c>
      <c r="Y190" s="21" t="s">
        <v>1606</v>
      </c>
      <c r="Z190" s="21" t="s">
        <v>256</v>
      </c>
      <c r="AA190" s="21" t="s">
        <v>112</v>
      </c>
      <c r="AB190" s="21" t="s">
        <v>1607</v>
      </c>
      <c r="AC190" s="21" t="s">
        <v>1608</v>
      </c>
      <c r="AE190" s="23" t="s">
        <v>115</v>
      </c>
      <c r="AF190" s="38"/>
      <c r="AG190" s="23" t="s">
        <v>116</v>
      </c>
      <c r="AH190" s="38"/>
      <c r="AI190" s="25" t="s">
        <v>117</v>
      </c>
      <c r="AJ190" s="38"/>
      <c r="AK190" s="25" t="s">
        <v>117</v>
      </c>
      <c r="AL190" s="22">
        <v>0</v>
      </c>
      <c r="AM190" s="23" t="s">
        <v>115</v>
      </c>
      <c r="AN190" s="38"/>
      <c r="AO190" s="25" t="s">
        <v>117</v>
      </c>
      <c r="AP190" s="39" t="s">
        <v>118</v>
      </c>
      <c r="AQ190" s="23" t="s">
        <v>115</v>
      </c>
      <c r="AR190" s="40"/>
      <c r="AS190" s="23" t="s">
        <v>117</v>
      </c>
      <c r="AT190" s="39" t="s">
        <v>118</v>
      </c>
      <c r="AU190" s="23" t="s">
        <v>116</v>
      </c>
      <c r="AV190" s="39" t="s">
        <v>118</v>
      </c>
      <c r="AW190" s="23" t="s">
        <v>115</v>
      </c>
      <c r="AX190" s="39" t="s">
        <v>118</v>
      </c>
      <c r="AY190" s="23" t="s">
        <v>115</v>
      </c>
      <c r="AZ190" s="39" t="s">
        <v>118</v>
      </c>
      <c r="BA190" s="23" t="s">
        <v>115</v>
      </c>
      <c r="BB190" s="40"/>
      <c r="BC190" s="23" t="s">
        <v>115</v>
      </c>
      <c r="BD190" s="39" t="s">
        <v>118</v>
      </c>
      <c r="BE190" s="23" t="s">
        <v>115</v>
      </c>
      <c r="BF190" s="39" t="s">
        <v>118</v>
      </c>
      <c r="BG190" s="23" t="s">
        <v>115</v>
      </c>
      <c r="BH190" s="40"/>
      <c r="BI190" s="25" t="s">
        <v>117</v>
      </c>
      <c r="BJ190" s="40"/>
      <c r="BK190" s="25" t="s">
        <v>117</v>
      </c>
      <c r="BL190" s="40"/>
      <c r="BM190" s="25" t="s">
        <v>117</v>
      </c>
      <c r="BN190" s="40"/>
      <c r="BO190" s="25" t="s">
        <v>117</v>
      </c>
      <c r="BP190" s="40"/>
      <c r="BQ190" s="25" t="s">
        <v>117</v>
      </c>
      <c r="BR190" s="37">
        <v>15000</v>
      </c>
      <c r="BS190" s="25" t="s">
        <v>115</v>
      </c>
      <c r="BT190" s="40"/>
      <c r="BU190" s="25" t="s">
        <v>117</v>
      </c>
      <c r="BV190" s="40"/>
      <c r="BW190" s="25" t="s">
        <v>117</v>
      </c>
      <c r="BX190" s="40"/>
      <c r="BY190" s="25" t="s">
        <v>117</v>
      </c>
      <c r="BZ190" s="46"/>
      <c r="CA190" s="25" t="s">
        <v>117</v>
      </c>
      <c r="CB190" s="45" t="s">
        <v>159</v>
      </c>
      <c r="CC190" s="25" t="s">
        <v>116</v>
      </c>
      <c r="CD190" s="40"/>
      <c r="CE190" s="25" t="s">
        <v>117</v>
      </c>
      <c r="CF190" s="40"/>
      <c r="CG190" s="25" t="s">
        <v>117</v>
      </c>
      <c r="CH190" s="151">
        <v>5000</v>
      </c>
      <c r="CI190" s="25" t="s">
        <v>116</v>
      </c>
      <c r="CJ190" s="151">
        <v>2500</v>
      </c>
      <c r="CK190" s="48" t="s">
        <v>116</v>
      </c>
      <c r="CL190" s="46">
        <v>1500</v>
      </c>
      <c r="CM190" s="48" t="s">
        <v>116</v>
      </c>
      <c r="CN190" s="46">
        <v>1500</v>
      </c>
      <c r="CO190" s="25" t="s">
        <v>116</v>
      </c>
      <c r="CP190" s="30">
        <v>400</v>
      </c>
      <c r="CQ190" s="23" t="s">
        <v>115</v>
      </c>
      <c r="CR190" s="32"/>
      <c r="CS190" s="23" t="s">
        <v>117</v>
      </c>
      <c r="CT190" s="32"/>
      <c r="CU190" s="23" t="s">
        <v>117</v>
      </c>
      <c r="CV190" s="32"/>
      <c r="CW190" s="23" t="s">
        <v>117</v>
      </c>
      <c r="CX190" s="32"/>
      <c r="CY190" s="25" t="s">
        <v>117</v>
      </c>
      <c r="CZ190" s="32"/>
      <c r="DA190" s="25" t="s">
        <v>117</v>
      </c>
      <c r="DB190" s="33" t="s">
        <v>120</v>
      </c>
      <c r="DC190" s="25" t="s">
        <v>116</v>
      </c>
      <c r="DD190" s="34">
        <f t="shared" si="42"/>
        <v>1568</v>
      </c>
      <c r="DE190" t="s">
        <v>1609</v>
      </c>
      <c r="DF190" t="str">
        <f t="shared" si="43"/>
        <v>Malta#Fund#Malta RICC</v>
      </c>
      <c r="DG190" t="b">
        <f t="shared" si="44"/>
        <v>1</v>
      </c>
    </row>
    <row r="191" spans="1:111" ht="71.25" hidden="1" customHeight="1" x14ac:dyDescent="0.35">
      <c r="A191" s="184" t="s">
        <v>1610</v>
      </c>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c r="AA191" s="184"/>
      <c r="AB191" s="184"/>
      <c r="AC191" s="184"/>
      <c r="AD191" s="184"/>
      <c r="AE191" s="184"/>
      <c r="AF191" s="184"/>
      <c r="AG191" s="184"/>
      <c r="AH191" s="184"/>
      <c r="AI191" s="184"/>
      <c r="AJ191" s="184"/>
      <c r="AK191" s="184"/>
      <c r="AL191" s="184"/>
      <c r="AM191" s="184"/>
      <c r="AN191" s="184"/>
      <c r="AO191" s="184"/>
      <c r="AP191" s="184"/>
      <c r="AQ191" s="184"/>
      <c r="AR191" s="184"/>
      <c r="AS191" s="184"/>
      <c r="AT191" s="184"/>
      <c r="AU191" s="184"/>
      <c r="AV191" s="184"/>
      <c r="AW191" s="184"/>
      <c r="AX191" s="184"/>
      <c r="AY191" s="184"/>
      <c r="AZ191" s="184"/>
      <c r="BA191" s="184"/>
      <c r="BB191" s="184"/>
      <c r="BC191" s="184"/>
      <c r="BD191" s="184"/>
      <c r="BE191" s="184"/>
      <c r="BF191" s="184"/>
      <c r="BG191" s="184"/>
      <c r="BH191" s="184"/>
      <c r="BI191" s="184"/>
      <c r="BJ191" s="184"/>
      <c r="BK191" s="184"/>
      <c r="BL191" s="184"/>
      <c r="BM191" s="184"/>
      <c r="BN191" s="184"/>
      <c r="BO191" s="184"/>
      <c r="BP191" s="184"/>
      <c r="BQ191" s="184"/>
      <c r="BR191" s="184"/>
      <c r="BS191" s="184"/>
      <c r="BT191" s="184"/>
      <c r="BU191" s="184"/>
      <c r="BV191" s="184"/>
      <c r="BW191" s="184"/>
      <c r="BX191" s="184"/>
      <c r="BY191" s="184"/>
      <c r="BZ191" s="184"/>
      <c r="CA191" s="184"/>
      <c r="CB191" s="184"/>
      <c r="CC191" s="184"/>
      <c r="CD191" s="184"/>
      <c r="CE191" s="184"/>
      <c r="CF191" s="184"/>
      <c r="CG191" s="184"/>
      <c r="CH191" s="184"/>
      <c r="CI191" s="184"/>
      <c r="CJ191" s="184"/>
      <c r="CK191" s="184"/>
      <c r="CL191" s="184"/>
      <c r="CM191" s="184"/>
      <c r="CN191" s="184"/>
      <c r="CO191" s="184"/>
      <c r="CP191" s="184"/>
      <c r="CQ191" s="184"/>
      <c r="CR191" s="184"/>
      <c r="CS191" s="184"/>
      <c r="CT191" s="184"/>
      <c r="CU191" s="184"/>
      <c r="CV191" s="184"/>
      <c r="CW191" s="184"/>
      <c r="CX191" s="184"/>
      <c r="CY191" s="184"/>
      <c r="CZ191" s="184"/>
      <c r="DA191" s="184"/>
      <c r="DB191" s="184"/>
      <c r="DC191" s="184"/>
      <c r="DE191" t="s">
        <v>85</v>
      </c>
      <c r="DF191" t="str">
        <f>A179&amp;"#"&amp;C179&amp;"#"&amp;D179</f>
        <v>Luxembourg#Fund#Luxembourg FCP</v>
      </c>
    </row>
    <row r="192" spans="1:111" ht="30.75" hidden="1" customHeight="1" x14ac:dyDescent="0.35">
      <c r="A192" s="72" t="s">
        <v>1611</v>
      </c>
      <c r="B192" s="18" t="s">
        <v>1612</v>
      </c>
      <c r="C192" s="72" t="s">
        <v>88</v>
      </c>
      <c r="D192" s="73" t="s">
        <v>1613</v>
      </c>
      <c r="E192" s="72" t="s">
        <v>90</v>
      </c>
      <c r="F192" s="20" t="s">
        <v>1614</v>
      </c>
      <c r="G192" s="20" t="s">
        <v>1615</v>
      </c>
      <c r="H192" s="20" t="s">
        <v>93</v>
      </c>
      <c r="I192" s="20" t="s">
        <v>94</v>
      </c>
      <c r="J192" s="20" t="s">
        <v>1616</v>
      </c>
      <c r="K192" s="20" t="s">
        <v>96</v>
      </c>
      <c r="L192" s="20" t="s">
        <v>97</v>
      </c>
      <c r="M192" s="20" t="s">
        <v>98</v>
      </c>
      <c r="N192" s="20" t="s">
        <v>1617</v>
      </c>
      <c r="O192" s="20" t="s">
        <v>100</v>
      </c>
      <c r="P192" s="20" t="s">
        <v>101</v>
      </c>
      <c r="Q192" s="20" t="s">
        <v>102</v>
      </c>
      <c r="R192" s="20" t="s">
        <v>103</v>
      </c>
      <c r="S192" s="20" t="s">
        <v>104</v>
      </c>
      <c r="T192" s="20" t="s">
        <v>105</v>
      </c>
      <c r="U192" s="20" t="s">
        <v>106</v>
      </c>
      <c r="V192" s="21" t="s">
        <v>243</v>
      </c>
      <c r="W192" s="21" t="s">
        <v>1618</v>
      </c>
      <c r="X192" s="21" t="s">
        <v>109</v>
      </c>
      <c r="Y192" s="21" t="s">
        <v>1619</v>
      </c>
      <c r="Z192" s="21" t="s">
        <v>1620</v>
      </c>
      <c r="AA192" s="21" t="s">
        <v>112</v>
      </c>
      <c r="AB192" s="21" t="s">
        <v>1621</v>
      </c>
      <c r="AC192" s="21" t="s">
        <v>1622</v>
      </c>
      <c r="AD192" s="37">
        <v>2720</v>
      </c>
      <c r="AE192" s="23" t="s">
        <v>115</v>
      </c>
      <c r="AF192" s="75"/>
      <c r="AG192" s="23" t="s">
        <v>116</v>
      </c>
      <c r="AH192" s="61">
        <v>750</v>
      </c>
      <c r="AI192" s="25" t="s">
        <v>115</v>
      </c>
      <c r="AJ192" s="75"/>
      <c r="AK192" s="25" t="s">
        <v>117</v>
      </c>
      <c r="AL192" s="22">
        <v>0</v>
      </c>
      <c r="AM192" s="23" t="s">
        <v>115</v>
      </c>
      <c r="AN192" s="61">
        <v>1500</v>
      </c>
      <c r="AO192" s="25" t="s">
        <v>116</v>
      </c>
      <c r="AP192" s="61">
        <v>3100</v>
      </c>
      <c r="AQ192" s="23" t="s">
        <v>115</v>
      </c>
      <c r="AR192" s="75"/>
      <c r="AS192" s="23" t="s">
        <v>117</v>
      </c>
      <c r="AT192" s="58" t="s">
        <v>118</v>
      </c>
      <c r="AU192" s="23" t="s">
        <v>116</v>
      </c>
      <c r="AV192" s="61">
        <v>1120</v>
      </c>
      <c r="AW192" s="23" t="s">
        <v>115</v>
      </c>
      <c r="AX192" s="61">
        <v>1120</v>
      </c>
      <c r="AY192" s="23" t="s">
        <v>115</v>
      </c>
      <c r="AZ192" s="61">
        <v>800</v>
      </c>
      <c r="BA192" s="23" t="s">
        <v>115</v>
      </c>
      <c r="BB192" s="61">
        <v>1950</v>
      </c>
      <c r="BC192" s="23" t="s">
        <v>115</v>
      </c>
      <c r="BD192" s="61">
        <v>2000</v>
      </c>
      <c r="BE192" s="23" t="s">
        <v>115</v>
      </c>
      <c r="BF192" s="61">
        <v>1000</v>
      </c>
      <c r="BG192" s="23" t="s">
        <v>115</v>
      </c>
      <c r="BH192" s="75"/>
      <c r="BI192" s="25" t="s">
        <v>117</v>
      </c>
      <c r="BJ192" s="61">
        <v>2000</v>
      </c>
      <c r="BK192" s="25" t="s">
        <v>116</v>
      </c>
      <c r="BL192" s="75"/>
      <c r="BM192" s="25" t="s">
        <v>117</v>
      </c>
      <c r="BN192" s="75"/>
      <c r="BO192" s="25" t="s">
        <v>117</v>
      </c>
      <c r="BP192" s="75"/>
      <c r="BQ192" s="25" t="s">
        <v>117</v>
      </c>
      <c r="BR192" s="75"/>
      <c r="BS192" s="25" t="s">
        <v>117</v>
      </c>
      <c r="BT192" s="75"/>
      <c r="BU192" s="25" t="s">
        <v>117</v>
      </c>
      <c r="BV192" s="75"/>
      <c r="BW192" s="25" t="s">
        <v>117</v>
      </c>
      <c r="BX192" s="75"/>
      <c r="BY192" s="25" t="s">
        <v>117</v>
      </c>
      <c r="BZ192" s="75"/>
      <c r="CA192" s="25" t="s">
        <v>117</v>
      </c>
      <c r="CB192" s="75"/>
      <c r="CC192" s="25" t="s">
        <v>117</v>
      </c>
      <c r="CD192" s="75"/>
      <c r="CE192" s="25" t="s">
        <v>117</v>
      </c>
      <c r="CF192" s="75"/>
      <c r="CG192" s="25" t="s">
        <v>117</v>
      </c>
      <c r="CH192" s="75"/>
      <c r="CI192" s="25"/>
      <c r="CJ192" s="75"/>
      <c r="CK192" s="62" t="s">
        <v>117</v>
      </c>
      <c r="CL192" s="75"/>
      <c r="CM192" s="62" t="s">
        <v>117</v>
      </c>
      <c r="CN192" s="75"/>
      <c r="CO192" s="25" t="s">
        <v>117</v>
      </c>
      <c r="CP192" s="30">
        <v>400</v>
      </c>
      <c r="CQ192" s="23" t="s">
        <v>115</v>
      </c>
      <c r="CR192" s="32"/>
      <c r="CS192" s="23" t="s">
        <v>117</v>
      </c>
      <c r="CT192" s="32"/>
      <c r="CU192" s="23" t="s">
        <v>117</v>
      </c>
      <c r="CV192" s="32"/>
      <c r="CW192" s="23" t="s">
        <v>117</v>
      </c>
      <c r="CX192" s="32"/>
      <c r="CY192" s="25" t="s">
        <v>117</v>
      </c>
      <c r="CZ192" s="32"/>
      <c r="DA192" s="25" t="s">
        <v>117</v>
      </c>
      <c r="DB192" s="33" t="s">
        <v>120</v>
      </c>
      <c r="DC192" s="25" t="s">
        <v>116</v>
      </c>
      <c r="DD192" s="34">
        <f t="shared" ref="DD192:DD201" si="45">ROUND(0.075*SUM(AD192,AF192,AH192,AJ192,AL192,AN192,AP192,AR192,AT192,AV192,AX192,AZ192,BB192,BR192,BT192,BV192,BX192,BZ192,CB192,CD192,CF192,CJ192,CL192,CN192,CP192,CR192,CT192,CV192,CX192,CZ192),0)</f>
        <v>1010</v>
      </c>
      <c r="DE192" t="s">
        <v>1623</v>
      </c>
      <c r="DF192" t="str">
        <f t="shared" ref="DF192:DF201" si="46">A192&amp;"#"&amp;C192&amp;"#"&amp;D192</f>
        <v>Mauritius#Company#Mauritius GBLC</v>
      </c>
      <c r="DG192" t="b">
        <f t="shared" ref="DG192:DG201" si="47">DE192=DF192</f>
        <v>1</v>
      </c>
    </row>
    <row r="193" spans="1:111" ht="15" hidden="1" customHeight="1" x14ac:dyDescent="0.35">
      <c r="A193" s="18" t="s">
        <v>1611</v>
      </c>
      <c r="B193" s="18" t="s">
        <v>1612</v>
      </c>
      <c r="C193" s="18" t="s">
        <v>88</v>
      </c>
      <c r="D193" s="19" t="s">
        <v>1624</v>
      </c>
      <c r="E193" s="18" t="s">
        <v>90</v>
      </c>
      <c r="F193" s="20" t="s">
        <v>1625</v>
      </c>
      <c r="G193" s="20" t="s">
        <v>1626</v>
      </c>
      <c r="H193" s="20" t="s">
        <v>93</v>
      </c>
      <c r="I193" s="20" t="s">
        <v>94</v>
      </c>
      <c r="J193" s="20" t="s">
        <v>1616</v>
      </c>
      <c r="K193" s="20" t="s">
        <v>96</v>
      </c>
      <c r="L193" s="20" t="s">
        <v>97</v>
      </c>
      <c r="M193" s="20" t="s">
        <v>98</v>
      </c>
      <c r="N193" s="20" t="s">
        <v>1617</v>
      </c>
      <c r="O193" s="20" t="s">
        <v>100</v>
      </c>
      <c r="P193" s="20" t="s">
        <v>101</v>
      </c>
      <c r="Q193" s="20" t="s">
        <v>102</v>
      </c>
      <c r="R193" s="20" t="s">
        <v>103</v>
      </c>
      <c r="S193" s="20" t="s">
        <v>104</v>
      </c>
      <c r="T193" s="20" t="s">
        <v>105</v>
      </c>
      <c r="U193" s="20" t="s">
        <v>106</v>
      </c>
      <c r="V193" s="21" t="s">
        <v>243</v>
      </c>
      <c r="W193" s="21" t="s">
        <v>108</v>
      </c>
      <c r="X193" s="21" t="s">
        <v>109</v>
      </c>
      <c r="Y193" s="21" t="s">
        <v>1619</v>
      </c>
      <c r="Z193" s="21" t="s">
        <v>111</v>
      </c>
      <c r="AA193" s="21" t="s">
        <v>112</v>
      </c>
      <c r="AB193" s="21" t="s">
        <v>1627</v>
      </c>
      <c r="AC193" s="21" t="s">
        <v>1628</v>
      </c>
      <c r="AD193" s="37">
        <v>1610</v>
      </c>
      <c r="AE193" s="23" t="s">
        <v>115</v>
      </c>
      <c r="AF193" s="28"/>
      <c r="AG193" s="23" t="s">
        <v>116</v>
      </c>
      <c r="AH193" s="28"/>
      <c r="AI193" s="25" t="s">
        <v>117</v>
      </c>
      <c r="AJ193" s="28"/>
      <c r="AK193" s="25" t="s">
        <v>117</v>
      </c>
      <c r="AL193" s="22">
        <v>0</v>
      </c>
      <c r="AM193" s="23" t="s">
        <v>115</v>
      </c>
      <c r="AN193" s="22">
        <v>1500</v>
      </c>
      <c r="AO193" s="25" t="s">
        <v>116</v>
      </c>
      <c r="AP193" s="22">
        <v>1860</v>
      </c>
      <c r="AQ193" s="23" t="s">
        <v>115</v>
      </c>
      <c r="AR193" s="28"/>
      <c r="AS193" s="23" t="s">
        <v>117</v>
      </c>
      <c r="AT193" s="27" t="s">
        <v>118</v>
      </c>
      <c r="AU193" s="23" t="s">
        <v>116</v>
      </c>
      <c r="AV193" s="22">
        <v>930</v>
      </c>
      <c r="AW193" s="23" t="s">
        <v>115</v>
      </c>
      <c r="AX193" s="22">
        <v>930</v>
      </c>
      <c r="AY193" s="23" t="s">
        <v>115</v>
      </c>
      <c r="AZ193" s="26">
        <v>150</v>
      </c>
      <c r="BA193" s="23" t="s">
        <v>115</v>
      </c>
      <c r="BB193" s="26">
        <v>350</v>
      </c>
      <c r="BC193" s="23" t="s">
        <v>115</v>
      </c>
      <c r="BD193" s="22">
        <v>1500</v>
      </c>
      <c r="BE193" s="23" t="s">
        <v>115</v>
      </c>
      <c r="BF193" s="22">
        <v>1500</v>
      </c>
      <c r="BG193" s="23" t="s">
        <v>115</v>
      </c>
      <c r="BH193" s="28"/>
      <c r="BI193" s="25" t="s">
        <v>117</v>
      </c>
      <c r="BJ193" s="28"/>
      <c r="BK193" s="25" t="s">
        <v>117</v>
      </c>
      <c r="BL193" s="28"/>
      <c r="BM193" s="25" t="s">
        <v>117</v>
      </c>
      <c r="BN193" s="28"/>
      <c r="BO193" s="25" t="s">
        <v>117</v>
      </c>
      <c r="BP193" s="28"/>
      <c r="BQ193" s="25" t="s">
        <v>117</v>
      </c>
      <c r="BR193" s="28"/>
      <c r="BS193" s="25" t="s">
        <v>117</v>
      </c>
      <c r="BT193" s="28"/>
      <c r="BU193" s="25" t="s">
        <v>117</v>
      </c>
      <c r="BV193" s="28"/>
      <c r="BW193" s="25" t="s">
        <v>117</v>
      </c>
      <c r="BX193" s="28"/>
      <c r="BY193" s="25" t="s">
        <v>117</v>
      </c>
      <c r="BZ193" s="28"/>
      <c r="CA193" s="25" t="s">
        <v>117</v>
      </c>
      <c r="CB193" s="28"/>
      <c r="CC193" s="25" t="s">
        <v>117</v>
      </c>
      <c r="CD193" s="28"/>
      <c r="CE193" s="25" t="s">
        <v>117</v>
      </c>
      <c r="CF193" s="28"/>
      <c r="CG193" s="25" t="s">
        <v>117</v>
      </c>
      <c r="CH193" s="28"/>
      <c r="CI193" s="25"/>
      <c r="CJ193" s="28"/>
      <c r="CK193" s="29" t="s">
        <v>117</v>
      </c>
      <c r="CL193" s="28"/>
      <c r="CM193" s="29" t="s">
        <v>117</v>
      </c>
      <c r="CN193" s="28"/>
      <c r="CO193" s="25" t="s">
        <v>117</v>
      </c>
      <c r="CP193" s="30">
        <v>400</v>
      </c>
      <c r="CQ193" s="23" t="s">
        <v>115</v>
      </c>
      <c r="CR193" s="32"/>
      <c r="CS193" s="23" t="s">
        <v>117</v>
      </c>
      <c r="CT193" s="32"/>
      <c r="CU193" s="23" t="s">
        <v>117</v>
      </c>
      <c r="CV193" s="32"/>
      <c r="CW193" s="23" t="s">
        <v>117</v>
      </c>
      <c r="CX193" s="32"/>
      <c r="CY193" s="25" t="s">
        <v>117</v>
      </c>
      <c r="CZ193" s="32"/>
      <c r="DA193" s="25" t="s">
        <v>117</v>
      </c>
      <c r="DB193" s="33" t="s">
        <v>120</v>
      </c>
      <c r="DC193" s="25" t="s">
        <v>116</v>
      </c>
      <c r="DD193" s="34">
        <f t="shared" si="45"/>
        <v>580</v>
      </c>
      <c r="DE193" t="s">
        <v>1629</v>
      </c>
      <c r="DF193" t="str">
        <f t="shared" si="46"/>
        <v>Mauritius#Company#Mauritius Authorised company</v>
      </c>
      <c r="DG193" t="b">
        <f t="shared" si="47"/>
        <v>1</v>
      </c>
    </row>
    <row r="194" spans="1:111" ht="71.25" hidden="1" customHeight="1" x14ac:dyDescent="0.35">
      <c r="A194" s="72" t="s">
        <v>1611</v>
      </c>
      <c r="B194" s="18" t="s">
        <v>1612</v>
      </c>
      <c r="C194" s="72" t="s">
        <v>88</v>
      </c>
      <c r="D194" s="73" t="s">
        <v>1630</v>
      </c>
      <c r="E194" s="72" t="s">
        <v>90</v>
      </c>
      <c r="F194" s="20" t="s">
        <v>384</v>
      </c>
      <c r="G194" s="20" t="s">
        <v>1631</v>
      </c>
      <c r="H194" s="20" t="s">
        <v>93</v>
      </c>
      <c r="I194" s="20" t="s">
        <v>94</v>
      </c>
      <c r="J194" s="20" t="s">
        <v>1616</v>
      </c>
      <c r="K194" s="20" t="s">
        <v>96</v>
      </c>
      <c r="L194" s="20" t="s">
        <v>97</v>
      </c>
      <c r="M194" s="20" t="s">
        <v>98</v>
      </c>
      <c r="N194" s="20" t="s">
        <v>1617</v>
      </c>
      <c r="O194" s="20" t="s">
        <v>100</v>
      </c>
      <c r="P194" s="20" t="s">
        <v>101</v>
      </c>
      <c r="Q194" s="20" t="s">
        <v>102</v>
      </c>
      <c r="R194" s="20" t="s">
        <v>103</v>
      </c>
      <c r="S194" s="20" t="s">
        <v>104</v>
      </c>
      <c r="T194" s="20" t="s">
        <v>105</v>
      </c>
      <c r="U194" s="20" t="s">
        <v>106</v>
      </c>
      <c r="V194" s="21" t="s">
        <v>243</v>
      </c>
      <c r="W194" s="21" t="s">
        <v>108</v>
      </c>
      <c r="X194" s="21" t="s">
        <v>109</v>
      </c>
      <c r="Y194" s="21" t="s">
        <v>1632</v>
      </c>
      <c r="Z194" s="21" t="s">
        <v>256</v>
      </c>
      <c r="AA194" s="21" t="s">
        <v>112</v>
      </c>
      <c r="AB194" s="21" t="s">
        <v>1633</v>
      </c>
      <c r="AC194" s="21" t="s">
        <v>1634</v>
      </c>
      <c r="AD194" s="37">
        <v>1860</v>
      </c>
      <c r="AE194" s="23" t="s">
        <v>115</v>
      </c>
      <c r="AF194" s="75"/>
      <c r="AG194" s="23" t="s">
        <v>116</v>
      </c>
      <c r="AH194" s="75"/>
      <c r="AI194" s="25" t="s">
        <v>117</v>
      </c>
      <c r="AJ194" s="75"/>
      <c r="AK194" s="25" t="s">
        <v>117</v>
      </c>
      <c r="AL194" s="22">
        <v>0</v>
      </c>
      <c r="AM194" s="23" t="s">
        <v>115</v>
      </c>
      <c r="AN194" s="61">
        <v>1000</v>
      </c>
      <c r="AO194" s="25" t="s">
        <v>116</v>
      </c>
      <c r="AP194" s="61">
        <v>1860</v>
      </c>
      <c r="AQ194" s="23" t="s">
        <v>115</v>
      </c>
      <c r="AR194" s="75"/>
      <c r="AS194" s="23" t="s">
        <v>117</v>
      </c>
      <c r="AT194" s="58" t="s">
        <v>118</v>
      </c>
      <c r="AU194" s="23" t="s">
        <v>116</v>
      </c>
      <c r="AV194" s="61">
        <v>930</v>
      </c>
      <c r="AW194" s="23" t="s">
        <v>115</v>
      </c>
      <c r="AX194" s="61">
        <v>930</v>
      </c>
      <c r="AY194" s="23" t="s">
        <v>115</v>
      </c>
      <c r="AZ194" s="61">
        <v>500</v>
      </c>
      <c r="BA194" s="23" t="s">
        <v>115</v>
      </c>
      <c r="BB194" s="61">
        <v>350</v>
      </c>
      <c r="BC194" s="23" t="s">
        <v>115</v>
      </c>
      <c r="BD194" s="61">
        <v>1000</v>
      </c>
      <c r="BE194" s="23" t="s">
        <v>115</v>
      </c>
      <c r="BF194" s="61">
        <v>850</v>
      </c>
      <c r="BG194" s="23" t="s">
        <v>115</v>
      </c>
      <c r="BH194" s="75"/>
      <c r="BI194" s="25" t="s">
        <v>117</v>
      </c>
      <c r="BJ194" s="75"/>
      <c r="BK194" s="25" t="s">
        <v>117</v>
      </c>
      <c r="BL194" s="75"/>
      <c r="BM194" s="25" t="s">
        <v>117</v>
      </c>
      <c r="BN194" s="75"/>
      <c r="BO194" s="25" t="s">
        <v>117</v>
      </c>
      <c r="BP194" s="75"/>
      <c r="BQ194" s="25" t="s">
        <v>117</v>
      </c>
      <c r="BR194" s="75"/>
      <c r="BS194" s="25" t="s">
        <v>117</v>
      </c>
      <c r="BT194" s="75"/>
      <c r="BU194" s="25" t="s">
        <v>117</v>
      </c>
      <c r="BV194" s="75"/>
      <c r="BW194" s="25" t="s">
        <v>117</v>
      </c>
      <c r="BX194" s="75"/>
      <c r="BY194" s="25" t="s">
        <v>117</v>
      </c>
      <c r="BZ194" s="75"/>
      <c r="CA194" s="25" t="s">
        <v>117</v>
      </c>
      <c r="CB194" s="75"/>
      <c r="CC194" s="25" t="s">
        <v>117</v>
      </c>
      <c r="CD194" s="75"/>
      <c r="CE194" s="25" t="s">
        <v>117</v>
      </c>
      <c r="CF194" s="75"/>
      <c r="CG194" s="25" t="s">
        <v>117</v>
      </c>
      <c r="CH194" s="75"/>
      <c r="CI194" s="25"/>
      <c r="CJ194" s="75"/>
      <c r="CK194" s="62" t="s">
        <v>117</v>
      </c>
      <c r="CL194" s="75"/>
      <c r="CM194" s="62" t="s">
        <v>117</v>
      </c>
      <c r="CN194" s="75"/>
      <c r="CO194" s="25" t="s">
        <v>117</v>
      </c>
      <c r="CP194" s="30">
        <v>400</v>
      </c>
      <c r="CQ194" s="23" t="s">
        <v>115</v>
      </c>
      <c r="CR194" s="32"/>
      <c r="CS194" s="23" t="s">
        <v>117</v>
      </c>
      <c r="CT194" s="32"/>
      <c r="CU194" s="23" t="s">
        <v>117</v>
      </c>
      <c r="CV194" s="32"/>
      <c r="CW194" s="23" t="s">
        <v>117</v>
      </c>
      <c r="CX194" s="32"/>
      <c r="CY194" s="25" t="s">
        <v>117</v>
      </c>
      <c r="CZ194" s="32"/>
      <c r="DA194" s="25" t="s">
        <v>117</v>
      </c>
      <c r="DB194" s="33" t="s">
        <v>120</v>
      </c>
      <c r="DC194" s="25" t="s">
        <v>116</v>
      </c>
      <c r="DD194" s="34">
        <f t="shared" si="45"/>
        <v>587</v>
      </c>
      <c r="DE194" t="s">
        <v>1635</v>
      </c>
      <c r="DF194" t="str">
        <f t="shared" si="46"/>
        <v>Mauritius#Company#Mauritius Domestic</v>
      </c>
      <c r="DG194" t="b">
        <f t="shared" si="47"/>
        <v>1</v>
      </c>
    </row>
    <row r="195" spans="1:111" ht="71.25" hidden="1" customHeight="1" x14ac:dyDescent="0.35">
      <c r="A195" s="18" t="s">
        <v>1611</v>
      </c>
      <c r="B195" s="18" t="s">
        <v>1612</v>
      </c>
      <c r="C195" s="18" t="s">
        <v>122</v>
      </c>
      <c r="D195" s="19" t="s">
        <v>1636</v>
      </c>
      <c r="E195" s="18" t="s">
        <v>90</v>
      </c>
      <c r="F195" s="20" t="s">
        <v>124</v>
      </c>
      <c r="G195" s="20" t="s">
        <v>1637</v>
      </c>
      <c r="H195" s="20" t="s">
        <v>126</v>
      </c>
      <c r="I195" s="20" t="s">
        <v>127</v>
      </c>
      <c r="J195" s="20" t="s">
        <v>1616</v>
      </c>
      <c r="K195" s="20" t="s">
        <v>96</v>
      </c>
      <c r="L195" s="20" t="s">
        <v>97</v>
      </c>
      <c r="M195" s="20" t="s">
        <v>98</v>
      </c>
      <c r="N195" s="20" t="s">
        <v>128</v>
      </c>
      <c r="O195" s="20" t="s">
        <v>129</v>
      </c>
      <c r="P195" s="20" t="s">
        <v>130</v>
      </c>
      <c r="Q195" s="20" t="s">
        <v>131</v>
      </c>
      <c r="R195" s="20" t="s">
        <v>132</v>
      </c>
      <c r="S195" s="20" t="s">
        <v>133</v>
      </c>
      <c r="T195" s="20" t="s">
        <v>134</v>
      </c>
      <c r="U195" s="20" t="s">
        <v>135</v>
      </c>
      <c r="V195" s="21" t="s">
        <v>122</v>
      </c>
      <c r="W195" s="21" t="s">
        <v>108</v>
      </c>
      <c r="X195" s="21" t="s">
        <v>109</v>
      </c>
      <c r="Y195" s="21" t="s">
        <v>1638</v>
      </c>
      <c r="Z195" s="21" t="s">
        <v>111</v>
      </c>
      <c r="AA195" s="21"/>
      <c r="AB195" s="21" t="s">
        <v>1639</v>
      </c>
      <c r="AC195" s="21" t="s">
        <v>1640</v>
      </c>
      <c r="AD195" s="37">
        <v>3930</v>
      </c>
      <c r="AE195" s="23" t="s">
        <v>115</v>
      </c>
      <c r="AF195" s="28"/>
      <c r="AG195" s="23" t="s">
        <v>116</v>
      </c>
      <c r="AH195" s="28"/>
      <c r="AI195" s="25" t="s">
        <v>117</v>
      </c>
      <c r="AJ195" s="28"/>
      <c r="AK195" s="25" t="s">
        <v>117</v>
      </c>
      <c r="AL195" s="22">
        <v>0</v>
      </c>
      <c r="AM195" s="23" t="s">
        <v>115</v>
      </c>
      <c r="AN195" s="22">
        <v>1500</v>
      </c>
      <c r="AO195" s="25" t="s">
        <v>116</v>
      </c>
      <c r="AP195" s="27" t="s">
        <v>118</v>
      </c>
      <c r="AQ195" s="23" t="s">
        <v>117</v>
      </c>
      <c r="AR195" s="22">
        <v>4490</v>
      </c>
      <c r="AS195" s="23" t="s">
        <v>115</v>
      </c>
      <c r="AT195" s="27" t="s">
        <v>118</v>
      </c>
      <c r="AU195" s="23" t="s">
        <v>116</v>
      </c>
      <c r="AV195" s="27" t="s">
        <v>118</v>
      </c>
      <c r="AW195" s="23" t="s">
        <v>115</v>
      </c>
      <c r="AX195" s="27" t="s">
        <v>118</v>
      </c>
      <c r="AY195" s="23" t="s">
        <v>115</v>
      </c>
      <c r="AZ195" s="27" t="s">
        <v>118</v>
      </c>
      <c r="BA195" s="23" t="s">
        <v>115</v>
      </c>
      <c r="BB195" s="28"/>
      <c r="BC195" s="23" t="s">
        <v>115</v>
      </c>
      <c r="BD195" s="22">
        <v>800</v>
      </c>
      <c r="BE195" s="23" t="s">
        <v>115</v>
      </c>
      <c r="BF195" s="22">
        <v>300</v>
      </c>
      <c r="BG195" s="23" t="s">
        <v>115</v>
      </c>
      <c r="BH195" s="24"/>
      <c r="BI195" s="25" t="s">
        <v>117</v>
      </c>
      <c r="BJ195" s="24"/>
      <c r="BK195" s="25" t="s">
        <v>117</v>
      </c>
      <c r="BL195" s="24"/>
      <c r="BM195" s="25" t="s">
        <v>117</v>
      </c>
      <c r="BN195" s="24"/>
      <c r="BO195" s="25" t="s">
        <v>117</v>
      </c>
      <c r="BP195" s="24"/>
      <c r="BQ195" s="25" t="s">
        <v>117</v>
      </c>
      <c r="BR195" s="24"/>
      <c r="BS195" s="25" t="s">
        <v>117</v>
      </c>
      <c r="BT195" s="24"/>
      <c r="BU195" s="25" t="s">
        <v>117</v>
      </c>
      <c r="BV195" s="24"/>
      <c r="BW195" s="25" t="s">
        <v>117</v>
      </c>
      <c r="BX195" s="24"/>
      <c r="BY195" s="25" t="s">
        <v>117</v>
      </c>
      <c r="BZ195" s="24"/>
      <c r="CA195" s="25" t="s">
        <v>117</v>
      </c>
      <c r="CB195" s="24"/>
      <c r="CC195" s="25" t="s">
        <v>117</v>
      </c>
      <c r="CD195" s="24"/>
      <c r="CE195" s="25" t="s">
        <v>117</v>
      </c>
      <c r="CF195" s="24"/>
      <c r="CG195" s="25" t="s">
        <v>117</v>
      </c>
      <c r="CH195" s="24"/>
      <c r="CI195" s="25"/>
      <c r="CJ195" s="24"/>
      <c r="CK195" s="29" t="s">
        <v>117</v>
      </c>
      <c r="CL195" s="24"/>
      <c r="CM195" s="29" t="s">
        <v>117</v>
      </c>
      <c r="CN195" s="24"/>
      <c r="CO195" s="25" t="s">
        <v>117</v>
      </c>
      <c r="CP195" s="30">
        <v>400</v>
      </c>
      <c r="CQ195" s="23" t="s">
        <v>115</v>
      </c>
      <c r="CR195" s="32"/>
      <c r="CS195" s="23" t="s">
        <v>117</v>
      </c>
      <c r="CT195" s="32"/>
      <c r="CU195" s="23" t="s">
        <v>117</v>
      </c>
      <c r="CV195" s="32"/>
      <c r="CW195" s="23" t="s">
        <v>117</v>
      </c>
      <c r="CX195" s="32"/>
      <c r="CY195" s="25" t="s">
        <v>117</v>
      </c>
      <c r="CZ195" s="32"/>
      <c r="DA195" s="25" t="s">
        <v>117</v>
      </c>
      <c r="DB195" s="33" t="s">
        <v>120</v>
      </c>
      <c r="DC195" s="25" t="s">
        <v>116</v>
      </c>
      <c r="DD195" s="34">
        <f t="shared" si="45"/>
        <v>774</v>
      </c>
      <c r="DE195" t="s">
        <v>1641</v>
      </c>
      <c r="DF195" t="str">
        <f t="shared" si="46"/>
        <v>Mauritius#Trust#Mauritius Trust</v>
      </c>
      <c r="DG195" t="b">
        <f t="shared" si="47"/>
        <v>1</v>
      </c>
    </row>
    <row r="196" spans="1:111" ht="71.25" customHeight="1" x14ac:dyDescent="0.35">
      <c r="A196" s="35" t="s">
        <v>1611</v>
      </c>
      <c r="B196" s="18" t="s">
        <v>1612</v>
      </c>
      <c r="C196" s="35" t="s">
        <v>141</v>
      </c>
      <c r="D196" s="36" t="s">
        <v>1642</v>
      </c>
      <c r="E196" s="35" t="s">
        <v>90</v>
      </c>
      <c r="F196" s="20" t="s">
        <v>143</v>
      </c>
      <c r="G196" s="20" t="s">
        <v>1643</v>
      </c>
      <c r="H196" s="20" t="s">
        <v>145</v>
      </c>
      <c r="I196" s="20" t="s">
        <v>146</v>
      </c>
      <c r="J196" s="20" t="s">
        <v>1616</v>
      </c>
      <c r="K196" s="20" t="s">
        <v>96</v>
      </c>
      <c r="L196" s="20" t="s">
        <v>97</v>
      </c>
      <c r="M196" s="20" t="s">
        <v>98</v>
      </c>
      <c r="N196" s="20" t="s">
        <v>147</v>
      </c>
      <c r="O196" s="20" t="s">
        <v>148</v>
      </c>
      <c r="P196" s="20" t="s">
        <v>149</v>
      </c>
      <c r="Q196" s="20" t="s">
        <v>150</v>
      </c>
      <c r="R196" s="20" t="s">
        <v>151</v>
      </c>
      <c r="S196" s="20" t="s">
        <v>152</v>
      </c>
      <c r="T196" s="20" t="s">
        <v>153</v>
      </c>
      <c r="U196" s="20" t="s">
        <v>154</v>
      </c>
      <c r="V196" s="21" t="s">
        <v>267</v>
      </c>
      <c r="W196" s="21" t="s">
        <v>108</v>
      </c>
      <c r="X196" s="21" t="s">
        <v>109</v>
      </c>
      <c r="Y196" s="21" t="s">
        <v>1644</v>
      </c>
      <c r="Z196" s="21" t="s">
        <v>256</v>
      </c>
      <c r="AA196" s="21" t="s">
        <v>112</v>
      </c>
      <c r="AB196" s="21" t="s">
        <v>1645</v>
      </c>
      <c r="AC196" s="21" t="s">
        <v>1646</v>
      </c>
      <c r="AE196" s="23" t="s">
        <v>115</v>
      </c>
      <c r="AF196" s="38"/>
      <c r="AG196" s="23" t="s">
        <v>116</v>
      </c>
      <c r="AH196" s="38"/>
      <c r="AI196" s="25" t="s">
        <v>117</v>
      </c>
      <c r="AJ196" s="38"/>
      <c r="AK196" s="25" t="s">
        <v>117</v>
      </c>
      <c r="AL196" s="22">
        <v>0</v>
      </c>
      <c r="AM196" s="23" t="s">
        <v>115</v>
      </c>
      <c r="AN196" s="38"/>
      <c r="AO196" s="25" t="s">
        <v>117</v>
      </c>
      <c r="AP196" s="39" t="s">
        <v>118</v>
      </c>
      <c r="AQ196" s="23" t="s">
        <v>115</v>
      </c>
      <c r="AR196" s="40"/>
      <c r="AS196" s="23" t="s">
        <v>117</v>
      </c>
      <c r="AT196" s="39" t="s">
        <v>118</v>
      </c>
      <c r="AU196" s="23" t="s">
        <v>116</v>
      </c>
      <c r="AV196" s="39" t="s">
        <v>118</v>
      </c>
      <c r="AW196" s="23" t="s">
        <v>115</v>
      </c>
      <c r="AX196" s="39" t="s">
        <v>118</v>
      </c>
      <c r="AY196" s="23" t="s">
        <v>115</v>
      </c>
      <c r="AZ196" s="39" t="s">
        <v>118</v>
      </c>
      <c r="BA196" s="23" t="s">
        <v>115</v>
      </c>
      <c r="BB196" s="40"/>
      <c r="BC196" s="23" t="s">
        <v>115</v>
      </c>
      <c r="BD196" s="39" t="s">
        <v>118</v>
      </c>
      <c r="BE196" s="23" t="s">
        <v>115</v>
      </c>
      <c r="BF196" s="39" t="s">
        <v>118</v>
      </c>
      <c r="BG196" s="23" t="s">
        <v>115</v>
      </c>
      <c r="BH196" s="40"/>
      <c r="BI196" s="25" t="s">
        <v>117</v>
      </c>
      <c r="BJ196" s="40"/>
      <c r="BK196" s="25" t="s">
        <v>117</v>
      </c>
      <c r="BL196" s="40"/>
      <c r="BM196" s="25" t="s">
        <v>117</v>
      </c>
      <c r="BN196" s="40"/>
      <c r="BO196" s="25" t="s">
        <v>117</v>
      </c>
      <c r="BP196" s="40"/>
      <c r="BQ196" s="25" t="s">
        <v>117</v>
      </c>
      <c r="BR196" s="37">
        <v>12000</v>
      </c>
      <c r="BS196" s="25" t="s">
        <v>115</v>
      </c>
      <c r="BT196" s="40"/>
      <c r="BU196" s="25" t="s">
        <v>117</v>
      </c>
      <c r="BV196" s="40"/>
      <c r="BW196" s="25" t="s">
        <v>117</v>
      </c>
      <c r="BX196" s="40"/>
      <c r="BY196" s="25" t="s">
        <v>117</v>
      </c>
      <c r="BZ196" s="46"/>
      <c r="CA196" s="25" t="s">
        <v>117</v>
      </c>
      <c r="CB196" s="45" t="s">
        <v>159</v>
      </c>
      <c r="CC196" s="25" t="s">
        <v>116</v>
      </c>
      <c r="CD196" s="40"/>
      <c r="CE196" s="25" t="s">
        <v>117</v>
      </c>
      <c r="CF196" s="40"/>
      <c r="CG196" s="25" t="s">
        <v>117</v>
      </c>
      <c r="CH196" s="151">
        <v>5000</v>
      </c>
      <c r="CI196" s="25" t="s">
        <v>116</v>
      </c>
      <c r="CJ196" s="151">
        <v>2500</v>
      </c>
      <c r="CK196" s="48" t="s">
        <v>116</v>
      </c>
      <c r="CL196" s="46">
        <v>1500</v>
      </c>
      <c r="CM196" s="48" t="s">
        <v>116</v>
      </c>
      <c r="CN196" s="46">
        <v>1500</v>
      </c>
      <c r="CO196" s="25" t="s">
        <v>116</v>
      </c>
      <c r="CP196" s="30">
        <v>400</v>
      </c>
      <c r="CQ196" s="23" t="s">
        <v>115</v>
      </c>
      <c r="CR196" s="32"/>
      <c r="CS196" s="23" t="s">
        <v>117</v>
      </c>
      <c r="CT196" s="32"/>
      <c r="CU196" s="23" t="s">
        <v>117</v>
      </c>
      <c r="CV196" s="32"/>
      <c r="CW196" s="23" t="s">
        <v>117</v>
      </c>
      <c r="CX196" s="32"/>
      <c r="CY196" s="25" t="s">
        <v>117</v>
      </c>
      <c r="CZ196" s="32"/>
      <c r="DA196" s="25" t="s">
        <v>117</v>
      </c>
      <c r="DB196" s="33" t="s">
        <v>120</v>
      </c>
      <c r="DC196" s="25" t="s">
        <v>116</v>
      </c>
      <c r="DD196" s="34">
        <f t="shared" si="45"/>
        <v>1343</v>
      </c>
      <c r="DE196" t="s">
        <v>1647</v>
      </c>
      <c r="DF196" t="str">
        <f t="shared" si="46"/>
        <v>Mauritius#Fund#Mauritius Ltd</v>
      </c>
      <c r="DG196" t="b">
        <f t="shared" si="47"/>
        <v>1</v>
      </c>
    </row>
    <row r="197" spans="1:111" ht="71.25" customHeight="1" x14ac:dyDescent="0.35">
      <c r="A197" s="42" t="s">
        <v>1611</v>
      </c>
      <c r="B197" s="18" t="s">
        <v>1612</v>
      </c>
      <c r="C197" s="42" t="s">
        <v>141</v>
      </c>
      <c r="D197" s="43" t="s">
        <v>1648</v>
      </c>
      <c r="E197" s="42" t="s">
        <v>90</v>
      </c>
      <c r="F197" s="20" t="s">
        <v>1097</v>
      </c>
      <c r="G197" s="20" t="s">
        <v>1649</v>
      </c>
      <c r="H197" s="20" t="s">
        <v>145</v>
      </c>
      <c r="I197" s="20" t="s">
        <v>146</v>
      </c>
      <c r="J197" s="20" t="s">
        <v>1616</v>
      </c>
      <c r="K197" s="20" t="s">
        <v>96</v>
      </c>
      <c r="L197" s="20" t="s">
        <v>97</v>
      </c>
      <c r="M197" s="20" t="s">
        <v>98</v>
      </c>
      <c r="N197" s="20" t="s">
        <v>147</v>
      </c>
      <c r="O197" s="20" t="s">
        <v>148</v>
      </c>
      <c r="P197" s="20" t="s">
        <v>149</v>
      </c>
      <c r="Q197" s="20" t="s">
        <v>150</v>
      </c>
      <c r="R197" s="20" t="s">
        <v>151</v>
      </c>
      <c r="S197" s="20" t="s">
        <v>152</v>
      </c>
      <c r="T197" s="20" t="s">
        <v>153</v>
      </c>
      <c r="U197" s="20" t="s">
        <v>154</v>
      </c>
      <c r="V197" s="21" t="s">
        <v>180</v>
      </c>
      <c r="W197" s="21" t="s">
        <v>108</v>
      </c>
      <c r="X197" s="21" t="s">
        <v>181</v>
      </c>
      <c r="Y197" s="21" t="s">
        <v>1650</v>
      </c>
      <c r="Z197" s="21" t="s">
        <v>256</v>
      </c>
      <c r="AA197" s="21" t="s">
        <v>112</v>
      </c>
      <c r="AB197" s="21" t="s">
        <v>1651</v>
      </c>
      <c r="AC197" s="21" t="s">
        <v>1652</v>
      </c>
      <c r="AE197" s="23" t="s">
        <v>115</v>
      </c>
      <c r="AF197" s="44"/>
      <c r="AG197" s="23" t="s">
        <v>116</v>
      </c>
      <c r="AH197" s="44"/>
      <c r="AI197" s="25" t="s">
        <v>117</v>
      </c>
      <c r="AJ197" s="44"/>
      <c r="AK197" s="25" t="s">
        <v>117</v>
      </c>
      <c r="AL197" s="22">
        <v>0</v>
      </c>
      <c r="AM197" s="23" t="s">
        <v>115</v>
      </c>
      <c r="AN197" s="44"/>
      <c r="AO197" s="25" t="s">
        <v>117</v>
      </c>
      <c r="AP197" s="45" t="s">
        <v>118</v>
      </c>
      <c r="AQ197" s="23" t="s">
        <v>115</v>
      </c>
      <c r="AR197" s="46"/>
      <c r="AS197" s="23" t="s">
        <v>117</v>
      </c>
      <c r="AT197" s="45" t="s">
        <v>118</v>
      </c>
      <c r="AU197" s="23" t="s">
        <v>116</v>
      </c>
      <c r="AV197" s="45" t="s">
        <v>118</v>
      </c>
      <c r="AW197" s="23" t="s">
        <v>115</v>
      </c>
      <c r="AX197" s="45" t="s">
        <v>118</v>
      </c>
      <c r="AY197" s="23" t="s">
        <v>115</v>
      </c>
      <c r="AZ197" s="45" t="s">
        <v>118</v>
      </c>
      <c r="BA197" s="23" t="s">
        <v>115</v>
      </c>
      <c r="BB197" s="46"/>
      <c r="BC197" s="23" t="s">
        <v>115</v>
      </c>
      <c r="BD197" s="45" t="s">
        <v>118</v>
      </c>
      <c r="BE197" s="23" t="s">
        <v>115</v>
      </c>
      <c r="BF197" s="45" t="s">
        <v>118</v>
      </c>
      <c r="BG197" s="23" t="s">
        <v>115</v>
      </c>
      <c r="BH197" s="46"/>
      <c r="BI197" s="25" t="s">
        <v>117</v>
      </c>
      <c r="BJ197" s="46"/>
      <c r="BK197" s="25" t="s">
        <v>117</v>
      </c>
      <c r="BL197" s="46"/>
      <c r="BM197" s="25" t="s">
        <v>117</v>
      </c>
      <c r="BN197" s="46"/>
      <c r="BO197" s="25" t="s">
        <v>117</v>
      </c>
      <c r="BP197" s="46"/>
      <c r="BQ197" s="25" t="s">
        <v>117</v>
      </c>
      <c r="BR197" s="47">
        <v>12000</v>
      </c>
      <c r="BS197" s="25" t="s">
        <v>115</v>
      </c>
      <c r="BT197" s="46"/>
      <c r="BU197" s="25" t="s">
        <v>117</v>
      </c>
      <c r="BV197" s="46"/>
      <c r="BW197" s="25" t="s">
        <v>117</v>
      </c>
      <c r="BX197" s="46"/>
      <c r="BY197" s="25" t="s">
        <v>117</v>
      </c>
      <c r="BZ197" s="46"/>
      <c r="CA197" s="25" t="s">
        <v>117</v>
      </c>
      <c r="CB197" s="45" t="s">
        <v>159</v>
      </c>
      <c r="CC197" s="25" t="s">
        <v>116</v>
      </c>
      <c r="CD197" s="46"/>
      <c r="CE197" s="25" t="s">
        <v>117</v>
      </c>
      <c r="CF197" s="46"/>
      <c r="CG197" s="25" t="s">
        <v>117</v>
      </c>
      <c r="CH197" s="151">
        <v>5000</v>
      </c>
      <c r="CI197" s="25" t="s">
        <v>116</v>
      </c>
      <c r="CJ197" s="151">
        <v>2500</v>
      </c>
      <c r="CK197" s="48" t="s">
        <v>116</v>
      </c>
      <c r="CL197" s="46">
        <v>1500</v>
      </c>
      <c r="CM197" s="48" t="s">
        <v>116</v>
      </c>
      <c r="CN197" s="46">
        <v>1500</v>
      </c>
      <c r="CO197" s="25" t="s">
        <v>116</v>
      </c>
      <c r="CP197" s="30">
        <v>400</v>
      </c>
      <c r="CQ197" s="23" t="s">
        <v>115</v>
      </c>
      <c r="CR197" s="32"/>
      <c r="CS197" s="23" t="s">
        <v>117</v>
      </c>
      <c r="CT197" s="32"/>
      <c r="CU197" s="23" t="s">
        <v>117</v>
      </c>
      <c r="CV197" s="32"/>
      <c r="CW197" s="23" t="s">
        <v>117</v>
      </c>
      <c r="CX197" s="32"/>
      <c r="CY197" s="25" t="s">
        <v>117</v>
      </c>
      <c r="CZ197" s="32"/>
      <c r="DA197" s="25" t="s">
        <v>117</v>
      </c>
      <c r="DB197" s="33" t="s">
        <v>120</v>
      </c>
      <c r="DC197" s="25" t="s">
        <v>116</v>
      </c>
      <c r="DD197" s="34">
        <f t="shared" si="45"/>
        <v>1343</v>
      </c>
      <c r="DE197" t="s">
        <v>1653</v>
      </c>
      <c r="DF197" t="str">
        <f t="shared" si="46"/>
        <v>Mauritius#Fund#Mauritius PCC</v>
      </c>
      <c r="DG197" t="b">
        <f t="shared" si="47"/>
        <v>1</v>
      </c>
    </row>
    <row r="198" spans="1:111" ht="71.25" customHeight="1" x14ac:dyDescent="0.35">
      <c r="A198" s="35" t="s">
        <v>1611</v>
      </c>
      <c r="B198" s="18" t="s">
        <v>1612</v>
      </c>
      <c r="C198" s="35" t="s">
        <v>141</v>
      </c>
      <c r="D198" s="36" t="s">
        <v>1654</v>
      </c>
      <c r="E198" s="35" t="s">
        <v>90</v>
      </c>
      <c r="F198" s="20" t="s">
        <v>355</v>
      </c>
      <c r="G198" s="20" t="s">
        <v>1655</v>
      </c>
      <c r="H198" s="20" t="s">
        <v>145</v>
      </c>
      <c r="I198" s="20" t="s">
        <v>146</v>
      </c>
      <c r="J198" s="20" t="s">
        <v>1616</v>
      </c>
      <c r="K198" s="20" t="s">
        <v>96</v>
      </c>
      <c r="L198" s="20" t="s">
        <v>97</v>
      </c>
      <c r="M198" s="20" t="s">
        <v>98</v>
      </c>
      <c r="N198" s="20" t="s">
        <v>147</v>
      </c>
      <c r="O198" s="20" t="s">
        <v>148</v>
      </c>
      <c r="P198" s="20" t="s">
        <v>149</v>
      </c>
      <c r="Q198" s="20" t="s">
        <v>150</v>
      </c>
      <c r="R198" s="20" t="s">
        <v>151</v>
      </c>
      <c r="S198" s="20" t="s">
        <v>152</v>
      </c>
      <c r="T198" s="20" t="s">
        <v>153</v>
      </c>
      <c r="U198" s="20" t="s">
        <v>154</v>
      </c>
      <c r="V198" s="21" t="s">
        <v>292</v>
      </c>
      <c r="W198" s="21" t="s">
        <v>108</v>
      </c>
      <c r="X198" s="21" t="s">
        <v>164</v>
      </c>
      <c r="Y198" s="21" t="s">
        <v>1656</v>
      </c>
      <c r="Z198" s="21" t="s">
        <v>111</v>
      </c>
      <c r="AA198" s="21" t="s">
        <v>166</v>
      </c>
      <c r="AB198" s="21" t="s">
        <v>1657</v>
      </c>
      <c r="AC198" s="21" t="s">
        <v>1658</v>
      </c>
      <c r="AE198" s="23" t="s">
        <v>115</v>
      </c>
      <c r="AF198" s="38"/>
      <c r="AG198" s="23" t="s">
        <v>116</v>
      </c>
      <c r="AH198" s="38"/>
      <c r="AI198" s="25" t="s">
        <v>117</v>
      </c>
      <c r="AJ198" s="38"/>
      <c r="AK198" s="25" t="s">
        <v>117</v>
      </c>
      <c r="AL198" s="22">
        <v>0</v>
      </c>
      <c r="AM198" s="23" t="s">
        <v>115</v>
      </c>
      <c r="AN198" s="38"/>
      <c r="AO198" s="25" t="s">
        <v>117</v>
      </c>
      <c r="AP198" s="39" t="s">
        <v>118</v>
      </c>
      <c r="AQ198" s="23" t="s">
        <v>115</v>
      </c>
      <c r="AR198" s="40"/>
      <c r="AS198" s="23" t="s">
        <v>117</v>
      </c>
      <c r="AT198" s="39" t="s">
        <v>118</v>
      </c>
      <c r="AU198" s="23" t="s">
        <v>116</v>
      </c>
      <c r="AV198" s="39" t="s">
        <v>118</v>
      </c>
      <c r="AW198" s="23" t="s">
        <v>115</v>
      </c>
      <c r="AX198" s="39" t="s">
        <v>118</v>
      </c>
      <c r="AY198" s="23" t="s">
        <v>115</v>
      </c>
      <c r="AZ198" s="39" t="s">
        <v>118</v>
      </c>
      <c r="BA198" s="23" t="s">
        <v>115</v>
      </c>
      <c r="BB198" s="40"/>
      <c r="BC198" s="23" t="s">
        <v>115</v>
      </c>
      <c r="BD198" s="39" t="s">
        <v>118</v>
      </c>
      <c r="BE198" s="23" t="s">
        <v>115</v>
      </c>
      <c r="BF198" s="39" t="s">
        <v>118</v>
      </c>
      <c r="BG198" s="23" t="s">
        <v>115</v>
      </c>
      <c r="BH198" s="40"/>
      <c r="BI198" s="25" t="s">
        <v>117</v>
      </c>
      <c r="BJ198" s="40"/>
      <c r="BK198" s="25" t="s">
        <v>117</v>
      </c>
      <c r="BL198" s="40"/>
      <c r="BM198" s="25" t="s">
        <v>117</v>
      </c>
      <c r="BN198" s="40"/>
      <c r="BO198" s="25" t="s">
        <v>117</v>
      </c>
      <c r="BP198" s="40"/>
      <c r="BQ198" s="25" t="s">
        <v>117</v>
      </c>
      <c r="BR198" s="37">
        <v>12000</v>
      </c>
      <c r="BS198" s="25" t="s">
        <v>115</v>
      </c>
      <c r="BT198" s="40"/>
      <c r="BU198" s="25" t="s">
        <v>117</v>
      </c>
      <c r="BV198" s="40"/>
      <c r="BW198" s="25" t="s">
        <v>117</v>
      </c>
      <c r="BX198" s="40"/>
      <c r="BY198" s="25" t="s">
        <v>117</v>
      </c>
      <c r="BZ198" s="46"/>
      <c r="CA198" s="25" t="s">
        <v>117</v>
      </c>
      <c r="CB198" s="45" t="s">
        <v>159</v>
      </c>
      <c r="CC198" s="25" t="s">
        <v>116</v>
      </c>
      <c r="CD198" s="40"/>
      <c r="CE198" s="25" t="s">
        <v>117</v>
      </c>
      <c r="CF198" s="40"/>
      <c r="CG198" s="25" t="s">
        <v>117</v>
      </c>
      <c r="CH198" s="151">
        <v>5000</v>
      </c>
      <c r="CI198" s="25" t="s">
        <v>116</v>
      </c>
      <c r="CJ198" s="151">
        <v>2500</v>
      </c>
      <c r="CK198" s="48" t="s">
        <v>116</v>
      </c>
      <c r="CL198" s="46">
        <v>1500</v>
      </c>
      <c r="CM198" s="48" t="s">
        <v>116</v>
      </c>
      <c r="CN198" s="46">
        <v>1500</v>
      </c>
      <c r="CO198" s="25" t="s">
        <v>116</v>
      </c>
      <c r="CP198" s="30">
        <v>400</v>
      </c>
      <c r="CQ198" s="23" t="s">
        <v>115</v>
      </c>
      <c r="CR198" s="32"/>
      <c r="CS198" s="23" t="s">
        <v>117</v>
      </c>
      <c r="CT198" s="32"/>
      <c r="CU198" s="23" t="s">
        <v>117</v>
      </c>
      <c r="CV198" s="32"/>
      <c r="CW198" s="23" t="s">
        <v>117</v>
      </c>
      <c r="CX198" s="32"/>
      <c r="CY198" s="25" t="s">
        <v>117</v>
      </c>
      <c r="CZ198" s="32"/>
      <c r="DA198" s="25" t="s">
        <v>117</v>
      </c>
      <c r="DB198" s="33" t="s">
        <v>120</v>
      </c>
      <c r="DC198" s="25" t="s">
        <v>116</v>
      </c>
      <c r="DD198" s="34">
        <f t="shared" si="45"/>
        <v>1343</v>
      </c>
      <c r="DE198" t="s">
        <v>1659</v>
      </c>
      <c r="DF198" t="str">
        <f t="shared" si="46"/>
        <v>Mauritius#Fund#Mauritius LP</v>
      </c>
      <c r="DG198" t="b">
        <f t="shared" si="47"/>
        <v>1</v>
      </c>
    </row>
    <row r="199" spans="1:111" ht="60.75" customHeight="1" x14ac:dyDescent="0.35">
      <c r="A199" s="42" t="s">
        <v>1611</v>
      </c>
      <c r="B199" s="18" t="s">
        <v>1612</v>
      </c>
      <c r="C199" s="42" t="s">
        <v>141</v>
      </c>
      <c r="D199" s="43" t="s">
        <v>1660</v>
      </c>
      <c r="E199" s="42" t="s">
        <v>90</v>
      </c>
      <c r="F199" s="20" t="s">
        <v>1661</v>
      </c>
      <c r="G199" s="20" t="s">
        <v>1662</v>
      </c>
      <c r="H199" s="20" t="s">
        <v>145</v>
      </c>
      <c r="I199" s="20" t="s">
        <v>146</v>
      </c>
      <c r="J199" s="20" t="s">
        <v>1616</v>
      </c>
      <c r="K199" s="20" t="s">
        <v>96</v>
      </c>
      <c r="L199" s="20" t="s">
        <v>97</v>
      </c>
      <c r="M199" s="20" t="s">
        <v>98</v>
      </c>
      <c r="N199" s="20" t="s">
        <v>147</v>
      </c>
      <c r="O199" s="20" t="s">
        <v>148</v>
      </c>
      <c r="P199" s="20" t="s">
        <v>149</v>
      </c>
      <c r="Q199" s="20" t="s">
        <v>150</v>
      </c>
      <c r="R199" s="20" t="s">
        <v>151</v>
      </c>
      <c r="S199" s="20" t="s">
        <v>152</v>
      </c>
      <c r="T199" s="20" t="s">
        <v>153</v>
      </c>
      <c r="U199" s="20" t="s">
        <v>154</v>
      </c>
      <c r="V199" s="21" t="s">
        <v>267</v>
      </c>
      <c r="W199" s="21" t="s">
        <v>108</v>
      </c>
      <c r="X199" s="21" t="s">
        <v>109</v>
      </c>
      <c r="Y199" s="21" t="s">
        <v>1663</v>
      </c>
      <c r="Z199" s="21" t="s">
        <v>256</v>
      </c>
      <c r="AA199" s="21" t="s">
        <v>112</v>
      </c>
      <c r="AB199" s="21" t="s">
        <v>1664</v>
      </c>
      <c r="AC199" s="21" t="s">
        <v>1665</v>
      </c>
      <c r="AD199" s="98">
        <v>4500</v>
      </c>
      <c r="AE199" s="23" t="s">
        <v>115</v>
      </c>
      <c r="AF199" s="44"/>
      <c r="AG199" s="23" t="s">
        <v>116</v>
      </c>
      <c r="AH199" s="44"/>
      <c r="AI199" s="25" t="s">
        <v>117</v>
      </c>
      <c r="AJ199" s="44"/>
      <c r="AK199" s="25" t="s">
        <v>117</v>
      </c>
      <c r="AL199" s="22">
        <v>0</v>
      </c>
      <c r="AM199" s="23" t="s">
        <v>115</v>
      </c>
      <c r="AN199" s="47">
        <v>1000</v>
      </c>
      <c r="AO199" s="25" t="s">
        <v>116</v>
      </c>
      <c r="AP199" s="47">
        <v>3000</v>
      </c>
      <c r="AQ199" s="23" t="s">
        <v>115</v>
      </c>
      <c r="AR199" s="46"/>
      <c r="AS199" s="23" t="s">
        <v>117</v>
      </c>
      <c r="AT199" s="45" t="s">
        <v>118</v>
      </c>
      <c r="AU199" s="23" t="s">
        <v>116</v>
      </c>
      <c r="AV199" s="26">
        <v>2500</v>
      </c>
      <c r="AW199" s="23" t="s">
        <v>115</v>
      </c>
      <c r="AX199" s="47">
        <v>1500</v>
      </c>
      <c r="AY199" s="23" t="s">
        <v>115</v>
      </c>
      <c r="AZ199" s="45" t="s">
        <v>118</v>
      </c>
      <c r="BA199" s="23" t="s">
        <v>115</v>
      </c>
      <c r="BB199" s="47">
        <v>2510</v>
      </c>
      <c r="BC199" s="23" t="s">
        <v>115</v>
      </c>
      <c r="BD199" s="47">
        <v>1500</v>
      </c>
      <c r="BE199" s="23" t="s">
        <v>115</v>
      </c>
      <c r="BF199" s="47">
        <v>1000</v>
      </c>
      <c r="BG199" s="23" t="s">
        <v>115</v>
      </c>
      <c r="BH199" s="46"/>
      <c r="BI199" s="25" t="s">
        <v>117</v>
      </c>
      <c r="BJ199" s="46"/>
      <c r="BK199" s="25" t="s">
        <v>117</v>
      </c>
      <c r="BL199" s="47">
        <v>2000</v>
      </c>
      <c r="BM199" s="25" t="s">
        <v>116</v>
      </c>
      <c r="BN199" s="46"/>
      <c r="BO199" s="25" t="s">
        <v>117</v>
      </c>
      <c r="BP199" s="46"/>
      <c r="BQ199" s="25" t="s">
        <v>117</v>
      </c>
      <c r="BR199" s="47">
        <v>4500</v>
      </c>
      <c r="BS199" s="25" t="s">
        <v>115</v>
      </c>
      <c r="BT199" s="46"/>
      <c r="BU199" s="25" t="s">
        <v>117</v>
      </c>
      <c r="BV199" s="46"/>
      <c r="BW199" s="25" t="s">
        <v>117</v>
      </c>
      <c r="BX199" s="47">
        <v>3110</v>
      </c>
      <c r="BY199" s="25" t="s">
        <v>116</v>
      </c>
      <c r="BZ199" s="45" t="s">
        <v>1666</v>
      </c>
      <c r="CA199" s="25" t="s">
        <v>116</v>
      </c>
      <c r="CB199" s="45" t="s">
        <v>1666</v>
      </c>
      <c r="CC199" s="25" t="s">
        <v>116</v>
      </c>
      <c r="CD199" s="26">
        <v>2000</v>
      </c>
      <c r="CE199" s="25" t="s">
        <v>116</v>
      </c>
      <c r="CF199" s="46"/>
      <c r="CG199" s="25" t="s">
        <v>117</v>
      </c>
      <c r="CH199" s="151">
        <v>5000</v>
      </c>
      <c r="CI199" s="25" t="s">
        <v>116</v>
      </c>
      <c r="CJ199" s="151">
        <v>2500</v>
      </c>
      <c r="CK199" s="48" t="s">
        <v>116</v>
      </c>
      <c r="CL199" s="47">
        <v>4000</v>
      </c>
      <c r="CM199" s="48" t="s">
        <v>116</v>
      </c>
      <c r="CN199" s="26">
        <v>1500</v>
      </c>
      <c r="CO199" s="25" t="s">
        <v>116</v>
      </c>
      <c r="CP199" s="26">
        <v>500</v>
      </c>
      <c r="CQ199" s="23" t="s">
        <v>115</v>
      </c>
      <c r="CR199" s="32"/>
      <c r="CS199" s="23" t="s">
        <v>117</v>
      </c>
      <c r="CT199" s="32"/>
      <c r="CU199" s="23" t="s">
        <v>117</v>
      </c>
      <c r="CV199" s="32"/>
      <c r="CW199" s="23" t="s">
        <v>117</v>
      </c>
      <c r="CX199" s="30">
        <v>2000</v>
      </c>
      <c r="CY199" s="25" t="s">
        <v>116</v>
      </c>
      <c r="CZ199" s="32"/>
      <c r="DA199" s="25" t="s">
        <v>117</v>
      </c>
      <c r="DB199" s="33" t="s">
        <v>120</v>
      </c>
      <c r="DC199" s="25" t="s">
        <v>116</v>
      </c>
      <c r="DD199" s="34">
        <f t="shared" si="45"/>
        <v>2634</v>
      </c>
      <c r="DE199" t="s">
        <v>1667</v>
      </c>
      <c r="DF199" t="str">
        <f t="shared" si="46"/>
        <v>Mauritius#Fund#Mauritius VCC</v>
      </c>
      <c r="DG199" t="b">
        <f t="shared" si="47"/>
        <v>1</v>
      </c>
    </row>
    <row r="200" spans="1:111" ht="14.25" hidden="1" customHeight="1" x14ac:dyDescent="0.35">
      <c r="A200" s="83" t="s">
        <v>1611</v>
      </c>
      <c r="B200" s="18" t="s">
        <v>1612</v>
      </c>
      <c r="C200" s="42" t="s">
        <v>540</v>
      </c>
      <c r="D200" s="43" t="s">
        <v>1668</v>
      </c>
      <c r="E200" s="42" t="s">
        <v>90</v>
      </c>
      <c r="F200" s="20" t="s">
        <v>1669</v>
      </c>
      <c r="G200" s="20" t="s">
        <v>1670</v>
      </c>
      <c r="H200" s="20" t="s">
        <v>1016</v>
      </c>
      <c r="I200" s="20" t="s">
        <v>1671</v>
      </c>
      <c r="J200" s="20" t="s">
        <v>1672</v>
      </c>
      <c r="K200" s="20" t="s">
        <v>1673</v>
      </c>
      <c r="L200" s="20" t="s">
        <v>1674</v>
      </c>
      <c r="M200" s="20" t="s">
        <v>1675</v>
      </c>
      <c r="N200" s="20" t="s">
        <v>1676</v>
      </c>
      <c r="O200" s="20" t="s">
        <v>1677</v>
      </c>
      <c r="P200" s="20" t="s">
        <v>1678</v>
      </c>
      <c r="Q200" s="20" t="s">
        <v>1679</v>
      </c>
      <c r="R200" s="20" t="s">
        <v>1680</v>
      </c>
      <c r="S200" s="20" t="s">
        <v>1681</v>
      </c>
      <c r="T200" s="20" t="s">
        <v>1682</v>
      </c>
      <c r="U200" s="20" t="s">
        <v>1683</v>
      </c>
      <c r="V200" s="21" t="s">
        <v>267</v>
      </c>
      <c r="W200" s="21" t="s">
        <v>108</v>
      </c>
      <c r="X200" s="21" t="s">
        <v>109</v>
      </c>
      <c r="Y200" s="21" t="s">
        <v>1663</v>
      </c>
      <c r="Z200" s="21" t="s">
        <v>256</v>
      </c>
      <c r="AA200" s="21" t="s">
        <v>112</v>
      </c>
      <c r="AB200" s="21" t="s">
        <v>1684</v>
      </c>
      <c r="AC200" s="21" t="s">
        <v>1685</v>
      </c>
      <c r="AD200" s="44"/>
      <c r="AE200" s="23" t="s">
        <v>115</v>
      </c>
      <c r="AF200" s="44"/>
      <c r="AG200" s="23" t="s">
        <v>116</v>
      </c>
      <c r="AH200" s="44"/>
      <c r="AI200" s="25" t="s">
        <v>117</v>
      </c>
      <c r="AJ200" s="44"/>
      <c r="AK200" s="25" t="s">
        <v>117</v>
      </c>
      <c r="AL200" s="22">
        <v>0</v>
      </c>
      <c r="AM200" s="23" t="s">
        <v>115</v>
      </c>
      <c r="AN200" s="44"/>
      <c r="AO200" s="25" t="s">
        <v>117</v>
      </c>
      <c r="AP200" s="46"/>
      <c r="AQ200" s="23" t="s">
        <v>115</v>
      </c>
      <c r="AR200" s="46"/>
      <c r="AS200" s="23" t="s">
        <v>117</v>
      </c>
      <c r="AT200" s="45" t="s">
        <v>118</v>
      </c>
      <c r="AU200" s="23" t="s">
        <v>116</v>
      </c>
      <c r="AV200" s="45" t="s">
        <v>118</v>
      </c>
      <c r="AW200" s="23" t="s">
        <v>115</v>
      </c>
      <c r="AX200" s="45" t="s">
        <v>118</v>
      </c>
      <c r="AY200" s="23" t="s">
        <v>115</v>
      </c>
      <c r="AZ200" s="45" t="s">
        <v>118</v>
      </c>
      <c r="BA200" s="23" t="s">
        <v>115</v>
      </c>
      <c r="BB200" s="46"/>
      <c r="BC200" s="23" t="s">
        <v>115</v>
      </c>
      <c r="BD200" s="45" t="s">
        <v>118</v>
      </c>
      <c r="BE200" s="23" t="s">
        <v>115</v>
      </c>
      <c r="BF200" s="45" t="s">
        <v>118</v>
      </c>
      <c r="BG200" s="23" t="s">
        <v>115</v>
      </c>
      <c r="BH200" s="46"/>
      <c r="BI200" s="25" t="s">
        <v>117</v>
      </c>
      <c r="BJ200" s="46"/>
      <c r="BK200" s="25" t="s">
        <v>117</v>
      </c>
      <c r="BL200" s="46"/>
      <c r="BM200" s="25" t="s">
        <v>117</v>
      </c>
      <c r="BN200" s="46"/>
      <c r="BO200" s="25" t="s">
        <v>117</v>
      </c>
      <c r="BP200" s="46"/>
      <c r="BQ200" s="25" t="s">
        <v>117</v>
      </c>
      <c r="BR200" s="46"/>
      <c r="BS200" s="25" t="s">
        <v>117</v>
      </c>
      <c r="BT200" s="47">
        <v>15000</v>
      </c>
      <c r="BU200" s="25" t="s">
        <v>116</v>
      </c>
      <c r="BV200" s="46"/>
      <c r="BW200" s="25" t="s">
        <v>117</v>
      </c>
      <c r="BX200" s="46"/>
      <c r="BY200" s="25" t="s">
        <v>117</v>
      </c>
      <c r="BZ200" s="46"/>
      <c r="CA200" s="25" t="s">
        <v>117</v>
      </c>
      <c r="CB200" s="45">
        <v>0.45</v>
      </c>
      <c r="CC200" s="25" t="s">
        <v>116</v>
      </c>
      <c r="CD200" s="45" t="s">
        <v>1011</v>
      </c>
      <c r="CE200" s="25" t="s">
        <v>116</v>
      </c>
      <c r="CF200" s="47">
        <v>250</v>
      </c>
      <c r="CG200" s="25" t="s">
        <v>116</v>
      </c>
      <c r="CH200" s="45" t="s">
        <v>1011</v>
      </c>
      <c r="CI200" s="25"/>
      <c r="CJ200" s="45" t="s">
        <v>1011</v>
      </c>
      <c r="CK200" s="48" t="s">
        <v>116</v>
      </c>
      <c r="CL200" s="45" t="s">
        <v>1011</v>
      </c>
      <c r="CM200" s="48" t="s">
        <v>116</v>
      </c>
      <c r="CN200" s="45" t="s">
        <v>1011</v>
      </c>
      <c r="CO200" s="25" t="s">
        <v>116</v>
      </c>
      <c r="CP200" s="30">
        <v>400</v>
      </c>
      <c r="CQ200" s="23" t="s">
        <v>115</v>
      </c>
      <c r="CR200" s="32"/>
      <c r="CS200" s="23" t="s">
        <v>117</v>
      </c>
      <c r="CT200" s="32"/>
      <c r="CU200" s="23" t="s">
        <v>117</v>
      </c>
      <c r="CV200" s="32"/>
      <c r="CW200" s="23" t="s">
        <v>117</v>
      </c>
      <c r="CX200" s="32"/>
      <c r="CY200" s="25" t="s">
        <v>117</v>
      </c>
      <c r="CZ200" s="32"/>
      <c r="DA200" s="25" t="s">
        <v>117</v>
      </c>
      <c r="DB200" s="33" t="s">
        <v>120</v>
      </c>
      <c r="DC200" s="25" t="s">
        <v>116</v>
      </c>
      <c r="DD200" s="34">
        <f t="shared" si="45"/>
        <v>1174</v>
      </c>
      <c r="DE200" t="s">
        <v>1686</v>
      </c>
      <c r="DF200" t="str">
        <f t="shared" si="46"/>
        <v>Mauritius#Fund - compartment#Mauritius VCC (Existing) — Sub-Fund Compartment</v>
      </c>
      <c r="DG200" t="b">
        <f t="shared" si="47"/>
        <v>1</v>
      </c>
    </row>
    <row r="201" spans="1:111" ht="78.75" hidden="1" customHeight="1" x14ac:dyDescent="0.35">
      <c r="A201" s="18" t="s">
        <v>1611</v>
      </c>
      <c r="B201" s="18"/>
      <c r="C201" s="18" t="s">
        <v>746</v>
      </c>
      <c r="D201" s="19" t="s">
        <v>1687</v>
      </c>
      <c r="E201" s="18" t="s">
        <v>90</v>
      </c>
      <c r="F201" s="20" t="s">
        <v>1688</v>
      </c>
      <c r="G201" s="20" t="s">
        <v>1689</v>
      </c>
      <c r="H201" s="20" t="s">
        <v>1690</v>
      </c>
      <c r="I201" s="20" t="s">
        <v>1691</v>
      </c>
      <c r="J201" s="20" t="s">
        <v>1616</v>
      </c>
      <c r="K201" s="20" t="s">
        <v>96</v>
      </c>
      <c r="L201" s="20" t="s">
        <v>97</v>
      </c>
      <c r="M201" s="20" t="s">
        <v>98</v>
      </c>
      <c r="N201" s="20" t="s">
        <v>1692</v>
      </c>
      <c r="O201" s="20" t="s">
        <v>1693</v>
      </c>
      <c r="P201" s="20" t="s">
        <v>1694</v>
      </c>
      <c r="Q201" s="20" t="s">
        <v>1695</v>
      </c>
      <c r="R201" s="20" t="s">
        <v>1696</v>
      </c>
      <c r="S201" s="20" t="s">
        <v>1697</v>
      </c>
      <c r="T201" s="20" t="s">
        <v>1698</v>
      </c>
      <c r="U201" s="20" t="s">
        <v>1699</v>
      </c>
      <c r="V201" s="21" t="s">
        <v>746</v>
      </c>
      <c r="W201" s="21" t="s">
        <v>1700</v>
      </c>
      <c r="X201" s="21" t="s">
        <v>789</v>
      </c>
      <c r="Y201" s="21" t="s">
        <v>1701</v>
      </c>
      <c r="Z201" s="21" t="s">
        <v>1702</v>
      </c>
      <c r="AA201" s="21" t="s">
        <v>1703</v>
      </c>
      <c r="AB201" s="21" t="s">
        <v>1704</v>
      </c>
      <c r="AC201" s="21" t="s">
        <v>1705</v>
      </c>
      <c r="AD201" s="22">
        <v>2970</v>
      </c>
      <c r="AE201" s="23" t="s">
        <v>116</v>
      </c>
      <c r="AF201" s="24"/>
      <c r="AG201" s="23" t="s">
        <v>117</v>
      </c>
      <c r="AH201" s="24"/>
      <c r="AI201" s="25" t="s">
        <v>117</v>
      </c>
      <c r="AJ201" s="24"/>
      <c r="AK201" s="25" t="s">
        <v>117</v>
      </c>
      <c r="AL201" s="22"/>
      <c r="AM201" s="23" t="s">
        <v>117</v>
      </c>
      <c r="AN201" s="24"/>
      <c r="AO201" s="25" t="s">
        <v>117</v>
      </c>
      <c r="AP201" s="26">
        <v>2970</v>
      </c>
      <c r="AQ201" s="23" t="s">
        <v>116</v>
      </c>
      <c r="AR201" s="24"/>
      <c r="AS201" s="23" t="s">
        <v>117</v>
      </c>
      <c r="AT201" s="27"/>
      <c r="AU201" s="23" t="s">
        <v>117</v>
      </c>
      <c r="AV201" s="22">
        <v>900</v>
      </c>
      <c r="AW201" s="23" t="s">
        <v>116</v>
      </c>
      <c r="AX201" s="22">
        <v>900</v>
      </c>
      <c r="AY201" s="23" t="s">
        <v>116</v>
      </c>
      <c r="AZ201" s="26"/>
      <c r="BA201" s="23" t="s">
        <v>117</v>
      </c>
      <c r="BB201" s="24"/>
      <c r="BC201" s="23" t="s">
        <v>117</v>
      </c>
      <c r="BD201" s="27"/>
      <c r="BE201" s="23" t="s">
        <v>117</v>
      </c>
      <c r="BF201" s="27"/>
      <c r="BG201" s="23" t="s">
        <v>117</v>
      </c>
      <c r="BH201" s="28"/>
      <c r="BI201" s="25" t="s">
        <v>117</v>
      </c>
      <c r="BJ201" s="28"/>
      <c r="BK201" s="25" t="s">
        <v>117</v>
      </c>
      <c r="BL201" s="28"/>
      <c r="BM201" s="25" t="s">
        <v>117</v>
      </c>
      <c r="BN201" s="28"/>
      <c r="BO201" s="25" t="s">
        <v>117</v>
      </c>
      <c r="BP201" s="28"/>
      <c r="BQ201" s="25" t="s">
        <v>117</v>
      </c>
      <c r="BR201" s="28"/>
      <c r="BS201" s="25" t="s">
        <v>117</v>
      </c>
      <c r="BT201" s="28"/>
      <c r="BU201" s="25" t="s">
        <v>117</v>
      </c>
      <c r="BV201" s="28"/>
      <c r="BW201" s="25" t="s">
        <v>117</v>
      </c>
      <c r="BX201" s="28"/>
      <c r="BY201" s="25" t="s">
        <v>117</v>
      </c>
      <c r="BZ201" s="28"/>
      <c r="CA201" s="25" t="s">
        <v>117</v>
      </c>
      <c r="CB201" s="28"/>
      <c r="CC201" s="25" t="s">
        <v>117</v>
      </c>
      <c r="CD201" s="28"/>
      <c r="CE201" s="25" t="s">
        <v>117</v>
      </c>
      <c r="CF201" s="28"/>
      <c r="CG201" s="25" t="s">
        <v>117</v>
      </c>
      <c r="CH201" s="28"/>
      <c r="CI201" s="25"/>
      <c r="CJ201" s="28"/>
      <c r="CK201" s="29" t="s">
        <v>117</v>
      </c>
      <c r="CL201" s="28"/>
      <c r="CM201" s="29" t="s">
        <v>117</v>
      </c>
      <c r="CN201" s="28"/>
      <c r="CO201" s="25" t="s">
        <v>117</v>
      </c>
      <c r="CP201" s="30"/>
      <c r="CQ201" s="23" t="s">
        <v>117</v>
      </c>
      <c r="CR201" s="30"/>
      <c r="CS201" s="23" t="s">
        <v>117</v>
      </c>
      <c r="CT201" s="30"/>
      <c r="CU201" s="23" t="s">
        <v>117</v>
      </c>
      <c r="CV201" s="31"/>
      <c r="CW201" s="23" t="s">
        <v>117</v>
      </c>
      <c r="CX201" s="32"/>
      <c r="CY201" s="25" t="s">
        <v>117</v>
      </c>
      <c r="CZ201" s="32"/>
      <c r="DA201" s="25" t="s">
        <v>117</v>
      </c>
      <c r="DB201" s="33" t="s">
        <v>1706</v>
      </c>
      <c r="DC201" s="25" t="s">
        <v>116</v>
      </c>
      <c r="DD201" s="34">
        <f t="shared" si="45"/>
        <v>581</v>
      </c>
      <c r="DE201" t="s">
        <v>1707</v>
      </c>
      <c r="DF201" t="str">
        <f t="shared" si="46"/>
        <v>Mauritius#Foundation#Mauritius Foundation</v>
      </c>
      <c r="DG201" t="b">
        <f t="shared" si="47"/>
        <v>1</v>
      </c>
    </row>
    <row r="202" spans="1:111" ht="78.75" hidden="1" customHeight="1" x14ac:dyDescent="0.35">
      <c r="A202" s="184" t="s">
        <v>1708</v>
      </c>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c r="AA202" s="184"/>
      <c r="AB202" s="184"/>
      <c r="AC202" s="184"/>
      <c r="AD202" s="184"/>
      <c r="AE202" s="184"/>
      <c r="AF202" s="184"/>
      <c r="AG202" s="184"/>
      <c r="AH202" s="184"/>
      <c r="AI202" s="184"/>
      <c r="AJ202" s="184"/>
      <c r="AK202" s="184"/>
      <c r="AL202" s="184"/>
      <c r="AM202" s="184"/>
      <c r="AN202" s="184"/>
      <c r="AO202" s="184"/>
      <c r="AP202" s="184"/>
      <c r="AQ202" s="184"/>
      <c r="AR202" s="184"/>
      <c r="AS202" s="184"/>
      <c r="AT202" s="184"/>
      <c r="AU202" s="184"/>
      <c r="AV202" s="184"/>
      <c r="AW202" s="184"/>
      <c r="AX202" s="184"/>
      <c r="AY202" s="184"/>
      <c r="AZ202" s="184"/>
      <c r="BA202" s="184"/>
      <c r="BB202" s="184"/>
      <c r="BC202" s="184"/>
      <c r="BD202" s="184"/>
      <c r="BE202" s="184"/>
      <c r="BF202" s="184"/>
      <c r="BG202" s="184"/>
      <c r="BH202" s="184"/>
      <c r="BI202" s="184"/>
      <c r="BJ202" s="184"/>
      <c r="BK202" s="184"/>
      <c r="BL202" s="184"/>
      <c r="BM202" s="184"/>
      <c r="BN202" s="184"/>
      <c r="BO202" s="184"/>
      <c r="BP202" s="184"/>
      <c r="BQ202" s="184"/>
      <c r="BR202" s="184"/>
      <c r="BS202" s="184"/>
      <c r="BT202" s="184"/>
      <c r="BU202" s="184"/>
      <c r="BV202" s="184"/>
      <c r="BW202" s="184"/>
      <c r="BX202" s="184"/>
      <c r="BY202" s="184"/>
      <c r="BZ202" s="184"/>
      <c r="CA202" s="184"/>
      <c r="CB202" s="184"/>
      <c r="CC202" s="184"/>
      <c r="CD202" s="184"/>
      <c r="CE202" s="184"/>
      <c r="CF202" s="184"/>
      <c r="CG202" s="184"/>
      <c r="CH202" s="184"/>
      <c r="CI202" s="184"/>
      <c r="CJ202" s="184"/>
      <c r="CK202" s="184"/>
      <c r="CL202" s="184"/>
      <c r="CM202" s="184"/>
      <c r="CN202" s="184"/>
      <c r="CO202" s="184"/>
      <c r="CP202" s="184"/>
      <c r="CQ202" s="184"/>
      <c r="CR202" s="184"/>
      <c r="CS202" s="184"/>
      <c r="CT202" s="184"/>
      <c r="CU202" s="184"/>
      <c r="CV202" s="184"/>
      <c r="CW202" s="184"/>
      <c r="CX202" s="184"/>
      <c r="CY202" s="184"/>
      <c r="CZ202" s="184"/>
      <c r="DA202" s="184"/>
      <c r="DB202" s="184"/>
      <c r="DC202" s="184"/>
      <c r="DE202" t="s">
        <v>85</v>
      </c>
      <c r="DF202" t="str">
        <f>A189&amp;"#"&amp;C189&amp;"#"&amp;D189</f>
        <v>Malta#Fund#Malta ICC</v>
      </c>
    </row>
    <row r="203" spans="1:111" ht="78.75" hidden="1" customHeight="1" x14ac:dyDescent="0.35">
      <c r="A203" s="42" t="s">
        <v>1709</v>
      </c>
      <c r="B203" s="35" t="s">
        <v>1710</v>
      </c>
      <c r="C203" s="42" t="s">
        <v>88</v>
      </c>
      <c r="D203" s="43" t="s">
        <v>1711</v>
      </c>
      <c r="E203" s="42" t="s">
        <v>90</v>
      </c>
      <c r="F203" s="20" t="s">
        <v>596</v>
      </c>
      <c r="G203" s="20" t="s">
        <v>1712</v>
      </c>
      <c r="H203" s="20" t="s">
        <v>1713</v>
      </c>
      <c r="I203" s="20" t="s">
        <v>94</v>
      </c>
      <c r="J203" s="20" t="s">
        <v>1714</v>
      </c>
      <c r="K203" s="20" t="s">
        <v>96</v>
      </c>
      <c r="L203" s="20" t="s">
        <v>97</v>
      </c>
      <c r="M203" s="20" t="s">
        <v>98</v>
      </c>
      <c r="N203" s="20" t="s">
        <v>1715</v>
      </c>
      <c r="O203" s="20" t="s">
        <v>100</v>
      </c>
      <c r="P203" s="20" t="s">
        <v>101</v>
      </c>
      <c r="Q203" s="20" t="s">
        <v>102</v>
      </c>
      <c r="R203" s="20" t="s">
        <v>104</v>
      </c>
      <c r="S203" s="20" t="s">
        <v>105</v>
      </c>
      <c r="T203" s="20" t="s">
        <v>1716</v>
      </c>
      <c r="U203" s="20"/>
      <c r="V203" s="21" t="s">
        <v>88</v>
      </c>
      <c r="W203" s="21" t="s">
        <v>203</v>
      </c>
      <c r="X203" s="21" t="s">
        <v>109</v>
      </c>
      <c r="Y203" s="21" t="s">
        <v>1717</v>
      </c>
      <c r="Z203" s="21" t="s">
        <v>256</v>
      </c>
      <c r="AA203" s="21" t="s">
        <v>601</v>
      </c>
      <c r="AB203" s="21" t="s">
        <v>1718</v>
      </c>
      <c r="AC203" s="21" t="s">
        <v>1719</v>
      </c>
      <c r="AD203" s="47">
        <v>7250</v>
      </c>
      <c r="AE203" s="23" t="s">
        <v>115</v>
      </c>
      <c r="AF203" s="44"/>
      <c r="AG203" s="23" t="s">
        <v>116</v>
      </c>
      <c r="AH203" s="44"/>
      <c r="AI203" s="25" t="s">
        <v>117</v>
      </c>
      <c r="AJ203" s="44"/>
      <c r="AK203" s="25" t="s">
        <v>117</v>
      </c>
      <c r="AL203" s="22">
        <v>0</v>
      </c>
      <c r="AM203" s="23" t="s">
        <v>115</v>
      </c>
      <c r="AN203" s="44"/>
      <c r="AO203" s="25" t="s">
        <v>117</v>
      </c>
      <c r="AP203" s="44"/>
      <c r="AQ203" s="23" t="s">
        <v>115</v>
      </c>
      <c r="AR203" s="44"/>
      <c r="AS203" s="23" t="s">
        <v>117</v>
      </c>
      <c r="AT203" s="47">
        <v>16000</v>
      </c>
      <c r="AU203" s="23" t="s">
        <v>116</v>
      </c>
      <c r="AV203" s="47">
        <v>9600</v>
      </c>
      <c r="AW203" s="23" t="s">
        <v>115</v>
      </c>
      <c r="AX203" s="45" t="s">
        <v>118</v>
      </c>
      <c r="AY203" s="23" t="s">
        <v>115</v>
      </c>
      <c r="AZ203" s="45" t="s">
        <v>118</v>
      </c>
      <c r="BA203" s="23" t="s">
        <v>115</v>
      </c>
      <c r="BB203" s="46"/>
      <c r="BC203" s="23" t="s">
        <v>115</v>
      </c>
      <c r="BD203" s="45" t="s">
        <v>118</v>
      </c>
      <c r="BE203" s="23" t="s">
        <v>115</v>
      </c>
      <c r="BF203" s="45" t="s">
        <v>118</v>
      </c>
      <c r="BG203" s="23" t="s">
        <v>115</v>
      </c>
      <c r="BH203" s="79" t="s">
        <v>1720</v>
      </c>
      <c r="BI203" s="25" t="s">
        <v>116</v>
      </c>
      <c r="BJ203" s="46"/>
      <c r="BK203" s="25" t="s">
        <v>117</v>
      </c>
      <c r="BL203" s="79" t="s">
        <v>1720</v>
      </c>
      <c r="BM203" s="25" t="s">
        <v>116</v>
      </c>
      <c r="BN203" s="46"/>
      <c r="BO203" s="25" t="s">
        <v>117</v>
      </c>
      <c r="BP203" s="46"/>
      <c r="BQ203" s="25" t="s">
        <v>117</v>
      </c>
      <c r="BR203" s="46"/>
      <c r="BS203" s="25" t="s">
        <v>117</v>
      </c>
      <c r="BT203" s="46"/>
      <c r="BU203" s="25" t="s">
        <v>117</v>
      </c>
      <c r="BV203" s="46"/>
      <c r="BW203" s="25" t="s">
        <v>117</v>
      </c>
      <c r="BX203" s="46"/>
      <c r="BY203" s="25" t="s">
        <v>117</v>
      </c>
      <c r="BZ203" s="46"/>
      <c r="CA203" s="25" t="s">
        <v>117</v>
      </c>
      <c r="CB203" s="46"/>
      <c r="CC203" s="25" t="s">
        <v>117</v>
      </c>
      <c r="CD203" s="46"/>
      <c r="CE203" s="25" t="s">
        <v>117</v>
      </c>
      <c r="CF203" s="46"/>
      <c r="CG203" s="25" t="s">
        <v>117</v>
      </c>
      <c r="CH203" s="46"/>
      <c r="CI203" s="25"/>
      <c r="CJ203" s="46"/>
      <c r="CK203" s="48" t="s">
        <v>117</v>
      </c>
      <c r="CL203" s="46"/>
      <c r="CM203" s="48" t="s">
        <v>117</v>
      </c>
      <c r="CN203" s="46"/>
      <c r="CO203" s="25" t="s">
        <v>117</v>
      </c>
      <c r="CP203" s="30">
        <v>400</v>
      </c>
      <c r="CQ203" s="23" t="s">
        <v>115</v>
      </c>
      <c r="CR203" s="32"/>
      <c r="CS203" s="23" t="s">
        <v>117</v>
      </c>
      <c r="CT203" s="32"/>
      <c r="CU203" s="23" t="s">
        <v>117</v>
      </c>
      <c r="CV203" s="32"/>
      <c r="CW203" s="23" t="s">
        <v>117</v>
      </c>
      <c r="CX203" s="32"/>
      <c r="CY203" s="25" t="s">
        <v>117</v>
      </c>
      <c r="CZ203" s="32"/>
      <c r="DA203" s="25" t="s">
        <v>117</v>
      </c>
      <c r="DB203" s="33" t="s">
        <v>120</v>
      </c>
      <c r="DC203" s="25" t="s">
        <v>116</v>
      </c>
      <c r="DD203" s="34">
        <f>ROUND(0.075*SUM(AD203,AF203,AH203,AJ203,AL203,AN203,AP203,AR203,AT203,AV203,AX203,AZ203,BB203,BR203,BT203,BV203,BX203,BZ203,CB203,CD203,CF203,CJ203,CL203,CN203,CP203,CR203,CT203,CV203,CX203,CZ203),0)</f>
        <v>2494</v>
      </c>
      <c r="DE203" t="s">
        <v>1721</v>
      </c>
      <c r="DF203" t="str">
        <f>A203&amp;"#"&amp;C203&amp;"#"&amp;D203</f>
        <v>Mexico#Company#Mexico SA</v>
      </c>
      <c r="DG203" t="b">
        <f>DE203=DF203</f>
        <v>1</v>
      </c>
    </row>
    <row r="204" spans="1:111" ht="90" hidden="1" customHeight="1" x14ac:dyDescent="0.35">
      <c r="A204" s="18" t="s">
        <v>1709</v>
      </c>
      <c r="B204" s="35" t="s">
        <v>1710</v>
      </c>
      <c r="C204" s="18" t="s">
        <v>122</v>
      </c>
      <c r="D204" s="19" t="s">
        <v>1722</v>
      </c>
      <c r="E204" s="18" t="s">
        <v>90</v>
      </c>
      <c r="F204" s="20" t="s">
        <v>199</v>
      </c>
      <c r="G204" s="20" t="s">
        <v>1723</v>
      </c>
      <c r="H204" s="20" t="s">
        <v>126</v>
      </c>
      <c r="I204" s="20" t="s">
        <v>127</v>
      </c>
      <c r="J204" s="20" t="s">
        <v>1714</v>
      </c>
      <c r="K204" s="20" t="s">
        <v>96</v>
      </c>
      <c r="L204" s="20" t="s">
        <v>97</v>
      </c>
      <c r="M204" s="20" t="s">
        <v>98</v>
      </c>
      <c r="N204" s="20" t="s">
        <v>1724</v>
      </c>
      <c r="O204" s="20" t="s">
        <v>132</v>
      </c>
      <c r="P204" s="20" t="s">
        <v>130</v>
      </c>
      <c r="Q204" s="20" t="s">
        <v>131</v>
      </c>
      <c r="R204" s="20" t="s">
        <v>1725</v>
      </c>
      <c r="S204" s="20" t="s">
        <v>133</v>
      </c>
      <c r="T204" s="20" t="s">
        <v>134</v>
      </c>
      <c r="U204" s="20" t="s">
        <v>135</v>
      </c>
      <c r="V204" s="21" t="s">
        <v>202</v>
      </c>
      <c r="W204" s="21" t="s">
        <v>203</v>
      </c>
      <c r="X204" s="21" t="s">
        <v>204</v>
      </c>
      <c r="Y204" s="21" t="s">
        <v>1726</v>
      </c>
      <c r="Z204" s="21" t="s">
        <v>256</v>
      </c>
      <c r="AA204" s="21" t="s">
        <v>1727</v>
      </c>
      <c r="AB204" s="21" t="s">
        <v>1728</v>
      </c>
      <c r="AC204" s="21" t="s">
        <v>1729</v>
      </c>
      <c r="AD204" s="22">
        <v>5200</v>
      </c>
      <c r="AE204" s="23" t="s">
        <v>115</v>
      </c>
      <c r="AF204" s="24"/>
      <c r="AG204" s="23" t="s">
        <v>116</v>
      </c>
      <c r="AH204" s="24"/>
      <c r="AI204" s="25" t="s">
        <v>117</v>
      </c>
      <c r="AJ204" s="24"/>
      <c r="AK204" s="25" t="s">
        <v>117</v>
      </c>
      <c r="AL204" s="22">
        <v>0</v>
      </c>
      <c r="AM204" s="23" t="s">
        <v>115</v>
      </c>
      <c r="AN204" s="24"/>
      <c r="AO204" s="25" t="s">
        <v>117</v>
      </c>
      <c r="AP204" s="27" t="s">
        <v>118</v>
      </c>
      <c r="AQ204" s="23" t="s">
        <v>117</v>
      </c>
      <c r="AR204" s="26">
        <v>5200</v>
      </c>
      <c r="AS204" s="23" t="s">
        <v>115</v>
      </c>
      <c r="AT204" s="27" t="s">
        <v>118</v>
      </c>
      <c r="AU204" s="23" t="s">
        <v>116</v>
      </c>
      <c r="AV204" s="27" t="s">
        <v>118</v>
      </c>
      <c r="AW204" s="23" t="s">
        <v>115</v>
      </c>
      <c r="AX204" s="27" t="s">
        <v>118</v>
      </c>
      <c r="AY204" s="23" t="s">
        <v>115</v>
      </c>
      <c r="AZ204" s="27" t="s">
        <v>118</v>
      </c>
      <c r="BA204" s="23" t="s">
        <v>115</v>
      </c>
      <c r="BB204" s="28"/>
      <c r="BC204" s="23" t="s">
        <v>115</v>
      </c>
      <c r="BD204" s="27" t="s">
        <v>118</v>
      </c>
      <c r="BE204" s="23" t="s">
        <v>115</v>
      </c>
      <c r="BF204" s="27" t="s">
        <v>118</v>
      </c>
      <c r="BG204" s="23" t="s">
        <v>115</v>
      </c>
      <c r="BH204" s="28"/>
      <c r="BI204" s="25" t="s">
        <v>117</v>
      </c>
      <c r="BJ204" s="28"/>
      <c r="BK204" s="25" t="s">
        <v>117</v>
      </c>
      <c r="BL204" s="28"/>
      <c r="BM204" s="25" t="s">
        <v>117</v>
      </c>
      <c r="BN204" s="28"/>
      <c r="BO204" s="25" t="s">
        <v>117</v>
      </c>
      <c r="BP204" s="79" t="s">
        <v>1720</v>
      </c>
      <c r="BQ204" s="25" t="s">
        <v>116</v>
      </c>
      <c r="BR204" s="28"/>
      <c r="BS204" s="25" t="s">
        <v>117</v>
      </c>
      <c r="BT204" s="28"/>
      <c r="BU204" s="25" t="s">
        <v>117</v>
      </c>
      <c r="BV204" s="28"/>
      <c r="BW204" s="25" t="s">
        <v>117</v>
      </c>
      <c r="BX204" s="28"/>
      <c r="BY204" s="25" t="s">
        <v>117</v>
      </c>
      <c r="BZ204" s="28"/>
      <c r="CA204" s="25" t="s">
        <v>117</v>
      </c>
      <c r="CB204" s="28"/>
      <c r="CC204" s="25" t="s">
        <v>117</v>
      </c>
      <c r="CD204" s="28"/>
      <c r="CE204" s="25" t="s">
        <v>117</v>
      </c>
      <c r="CF204" s="28"/>
      <c r="CG204" s="25" t="s">
        <v>117</v>
      </c>
      <c r="CH204" s="28"/>
      <c r="CI204" s="25"/>
      <c r="CJ204" s="28"/>
      <c r="CK204" s="29" t="s">
        <v>117</v>
      </c>
      <c r="CL204" s="28"/>
      <c r="CM204" s="29" t="s">
        <v>117</v>
      </c>
      <c r="CN204" s="28"/>
      <c r="CO204" s="25" t="s">
        <v>117</v>
      </c>
      <c r="CP204" s="30">
        <v>400</v>
      </c>
      <c r="CQ204" s="23" t="s">
        <v>115</v>
      </c>
      <c r="CR204" s="32"/>
      <c r="CS204" s="23" t="s">
        <v>117</v>
      </c>
      <c r="CT204" s="32"/>
      <c r="CU204" s="23" t="s">
        <v>117</v>
      </c>
      <c r="CV204" s="32"/>
      <c r="CW204" s="23" t="s">
        <v>117</v>
      </c>
      <c r="CX204" s="32"/>
      <c r="CY204" s="25" t="s">
        <v>117</v>
      </c>
      <c r="CZ204" s="32"/>
      <c r="DA204" s="25" t="s">
        <v>117</v>
      </c>
      <c r="DB204" s="33" t="s">
        <v>120</v>
      </c>
      <c r="DC204" s="25" t="s">
        <v>116</v>
      </c>
      <c r="DD204" s="34">
        <f>ROUND(0.075*SUM(AD204,AF204,AH204,AJ204,AL204,AN204,AP204,AR204,AT204,AV204,AX204,AZ204,BB204,BR204,BT204,BV204,BX204,BZ204,CB204,CD204,CF204,CJ204,CL204,CN204,CP204,CR204,CT204,CV204,CX204,CZ204),0)</f>
        <v>810</v>
      </c>
      <c r="DE204" t="s">
        <v>1730</v>
      </c>
      <c r="DF204" t="str">
        <f>A204&amp;"#"&amp;C204&amp;"#"&amp;D204</f>
        <v>Mexico#Trust#Mexico Fideicomiso de Garantía</v>
      </c>
      <c r="DG204" t="b">
        <f>DE204=DF204</f>
        <v>1</v>
      </c>
    </row>
    <row r="205" spans="1:111" ht="78.75" hidden="1" customHeight="1" x14ac:dyDescent="0.35">
      <c r="A205" s="35" t="s">
        <v>1709</v>
      </c>
      <c r="B205" s="35" t="s">
        <v>1710</v>
      </c>
      <c r="C205" s="35" t="s">
        <v>1731</v>
      </c>
      <c r="D205" s="36" t="s">
        <v>1732</v>
      </c>
      <c r="E205" s="35" t="s">
        <v>90</v>
      </c>
      <c r="F205" s="20" t="s">
        <v>1733</v>
      </c>
      <c r="G205" s="20" t="s">
        <v>1734</v>
      </c>
      <c r="H205" s="20" t="s">
        <v>1735</v>
      </c>
      <c r="I205" s="20" t="s">
        <v>1736</v>
      </c>
      <c r="J205" s="20" t="s">
        <v>1737</v>
      </c>
      <c r="K205" s="20" t="s">
        <v>1738</v>
      </c>
      <c r="L205" s="20" t="s">
        <v>1739</v>
      </c>
      <c r="M205" s="20" t="s">
        <v>98</v>
      </c>
      <c r="N205" s="20" t="s">
        <v>1740</v>
      </c>
      <c r="O205" s="20" t="s">
        <v>1741</v>
      </c>
      <c r="P205" s="20" t="s">
        <v>1742</v>
      </c>
      <c r="Q205" s="20"/>
      <c r="R205" s="20" t="s">
        <v>1743</v>
      </c>
      <c r="S205" s="20" t="s">
        <v>1744</v>
      </c>
      <c r="T205" s="20"/>
      <c r="U205" s="20"/>
      <c r="V205" s="21" t="s">
        <v>1745</v>
      </c>
      <c r="W205" s="21" t="s">
        <v>203</v>
      </c>
      <c r="X205" s="21" t="s">
        <v>109</v>
      </c>
      <c r="Y205" s="21" t="s">
        <v>1717</v>
      </c>
      <c r="Z205" s="21" t="s">
        <v>111</v>
      </c>
      <c r="AA205" s="21" t="s">
        <v>1746</v>
      </c>
      <c r="AB205" s="21" t="s">
        <v>1747</v>
      </c>
      <c r="AC205" s="21" t="s">
        <v>1748</v>
      </c>
      <c r="AD205" s="37">
        <v>10000</v>
      </c>
      <c r="AE205" s="23" t="s">
        <v>115</v>
      </c>
      <c r="AF205" s="38"/>
      <c r="AG205" s="23" t="s">
        <v>116</v>
      </c>
      <c r="AH205" s="38"/>
      <c r="AI205" s="25" t="s">
        <v>117</v>
      </c>
      <c r="AJ205" s="38"/>
      <c r="AK205" s="25" t="s">
        <v>117</v>
      </c>
      <c r="AL205" s="22">
        <v>0</v>
      </c>
      <c r="AM205" s="23" t="s">
        <v>116</v>
      </c>
      <c r="AN205" s="38"/>
      <c r="AO205" s="25" t="s">
        <v>117</v>
      </c>
      <c r="AP205" s="39" t="s">
        <v>118</v>
      </c>
      <c r="AQ205" s="23" t="s">
        <v>117</v>
      </c>
      <c r="AR205" s="40"/>
      <c r="AS205" s="23" t="s">
        <v>117</v>
      </c>
      <c r="AT205" s="39" t="s">
        <v>118</v>
      </c>
      <c r="AU205" s="23" t="s">
        <v>116</v>
      </c>
      <c r="AV205" s="39" t="s">
        <v>118</v>
      </c>
      <c r="AW205" s="23" t="s">
        <v>116</v>
      </c>
      <c r="AX205" s="39" t="s">
        <v>118</v>
      </c>
      <c r="AY205" s="23" t="s">
        <v>116</v>
      </c>
      <c r="AZ205" s="39" t="s">
        <v>118</v>
      </c>
      <c r="BA205" s="23" t="s">
        <v>116</v>
      </c>
      <c r="BB205" s="40"/>
      <c r="BC205" s="23" t="s">
        <v>116</v>
      </c>
      <c r="BD205" s="39" t="s">
        <v>118</v>
      </c>
      <c r="BE205" s="23" t="s">
        <v>116</v>
      </c>
      <c r="BF205" s="39" t="s">
        <v>118</v>
      </c>
      <c r="BG205" s="23" t="s">
        <v>116</v>
      </c>
      <c r="BH205" s="40"/>
      <c r="BI205" s="25" t="s">
        <v>117</v>
      </c>
      <c r="BJ205" s="40"/>
      <c r="BK205" s="25" t="s">
        <v>117</v>
      </c>
      <c r="BL205" s="40"/>
      <c r="BM205" s="25" t="s">
        <v>117</v>
      </c>
      <c r="BN205" s="40"/>
      <c r="BO205" s="25" t="s">
        <v>117</v>
      </c>
      <c r="BP205" s="79" t="s">
        <v>1720</v>
      </c>
      <c r="BQ205" s="25" t="s">
        <v>116</v>
      </c>
      <c r="BR205" s="40"/>
      <c r="BS205" s="25" t="s">
        <v>117</v>
      </c>
      <c r="BT205" s="40"/>
      <c r="BU205" s="25" t="s">
        <v>117</v>
      </c>
      <c r="BV205" s="40"/>
      <c r="BW205" s="25" t="s">
        <v>117</v>
      </c>
      <c r="BX205" s="40"/>
      <c r="BY205" s="25" t="s">
        <v>117</v>
      </c>
      <c r="BZ205" s="40"/>
      <c r="CA205" s="25" t="s">
        <v>117</v>
      </c>
      <c r="CB205" s="40"/>
      <c r="CC205" s="25" t="s">
        <v>117</v>
      </c>
      <c r="CD205" s="40"/>
      <c r="CE205" s="25" t="s">
        <v>117</v>
      </c>
      <c r="CF205" s="40"/>
      <c r="CG205" s="25" t="s">
        <v>117</v>
      </c>
      <c r="CH205" s="40"/>
      <c r="CI205" s="25"/>
      <c r="CJ205" s="40"/>
      <c r="CK205" s="41" t="s">
        <v>117</v>
      </c>
      <c r="CL205" s="40"/>
      <c r="CM205" s="41" t="s">
        <v>117</v>
      </c>
      <c r="CN205" s="40"/>
      <c r="CO205" s="25" t="s">
        <v>117</v>
      </c>
      <c r="CP205" s="30">
        <v>400</v>
      </c>
      <c r="CQ205" s="23" t="s">
        <v>115</v>
      </c>
      <c r="CR205" s="32"/>
      <c r="CS205" s="23" t="s">
        <v>117</v>
      </c>
      <c r="CT205" s="32"/>
      <c r="CU205" s="23" t="s">
        <v>117</v>
      </c>
      <c r="CV205" s="32"/>
      <c r="CW205" s="23" t="s">
        <v>117</v>
      </c>
      <c r="CX205" s="32"/>
      <c r="CY205" s="25" t="s">
        <v>117</v>
      </c>
      <c r="CZ205" s="32"/>
      <c r="DA205" s="25" t="s">
        <v>117</v>
      </c>
      <c r="DB205" s="82"/>
      <c r="DC205" s="25" t="s">
        <v>117</v>
      </c>
      <c r="DD205" s="34">
        <f>ROUND(0.075*SUM(AD205,AF205,AH205,AJ205,AL205,AN205,AP205,AR205,AT205,AV205,AX205,AZ205,BB205,BR205,BT205,BV205,BX205,BZ205,CB205,CD205,CF205,CJ205,CL205,CN205,CP205,CR205,CT205,CV205,CX205,CZ205),0)</f>
        <v>780</v>
      </c>
      <c r="DE205" t="s">
        <v>1749</v>
      </c>
      <c r="DF205" t="str">
        <f>A205&amp;"#"&amp;C205&amp;"#"&amp;D205</f>
        <v>Mexico#Escrow#Escrow Account</v>
      </c>
      <c r="DG205" t="b">
        <f>DE205=DF205</f>
        <v>1</v>
      </c>
    </row>
    <row r="206" spans="1:111" ht="78.75" hidden="1" customHeight="1" x14ac:dyDescent="0.35">
      <c r="A206" s="184" t="s">
        <v>1750</v>
      </c>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c r="AA206" s="184"/>
      <c r="AB206" s="184"/>
      <c r="AC206" s="184"/>
      <c r="AD206" s="184"/>
      <c r="AE206" s="184"/>
      <c r="AF206" s="184"/>
      <c r="AG206" s="184"/>
      <c r="AH206" s="184"/>
      <c r="AI206" s="184"/>
      <c r="AJ206" s="184"/>
      <c r="AK206" s="184"/>
      <c r="AL206" s="184"/>
      <c r="AM206" s="184"/>
      <c r="AN206" s="184"/>
      <c r="AO206" s="184"/>
      <c r="AP206" s="184"/>
      <c r="AQ206" s="184"/>
      <c r="AR206" s="184"/>
      <c r="AS206" s="184"/>
      <c r="AT206" s="184"/>
      <c r="AU206" s="184"/>
      <c r="AV206" s="184"/>
      <c r="AW206" s="184"/>
      <c r="AX206" s="184"/>
      <c r="AY206" s="184"/>
      <c r="AZ206" s="184"/>
      <c r="BA206" s="184"/>
      <c r="BB206" s="184"/>
      <c r="BC206" s="184"/>
      <c r="BD206" s="184"/>
      <c r="BE206" s="184"/>
      <c r="BF206" s="184"/>
      <c r="BG206" s="184"/>
      <c r="BH206" s="184"/>
      <c r="BI206" s="184"/>
      <c r="BJ206" s="184"/>
      <c r="BK206" s="184"/>
      <c r="BL206" s="184"/>
      <c r="BM206" s="184"/>
      <c r="BN206" s="184"/>
      <c r="BO206" s="184"/>
      <c r="BP206" s="184"/>
      <c r="BQ206" s="184"/>
      <c r="BR206" s="184"/>
      <c r="BS206" s="184"/>
      <c r="BT206" s="184"/>
      <c r="BU206" s="184"/>
      <c r="BV206" s="184"/>
      <c r="BW206" s="184"/>
      <c r="BX206" s="184"/>
      <c r="BY206" s="184"/>
      <c r="BZ206" s="184"/>
      <c r="CA206" s="184"/>
      <c r="CB206" s="184"/>
      <c r="CC206" s="184"/>
      <c r="CD206" s="184"/>
      <c r="CE206" s="184"/>
      <c r="CF206" s="184"/>
      <c r="CG206" s="184"/>
      <c r="CH206" s="184"/>
      <c r="CI206" s="184"/>
      <c r="CJ206" s="184"/>
      <c r="CK206" s="184"/>
      <c r="CL206" s="184"/>
      <c r="CM206" s="184"/>
      <c r="CN206" s="184"/>
      <c r="CO206" s="184"/>
      <c r="CP206" s="184"/>
      <c r="CQ206" s="184"/>
      <c r="CR206" s="184"/>
      <c r="CS206" s="184"/>
      <c r="CT206" s="184"/>
      <c r="CU206" s="184"/>
      <c r="CV206" s="184"/>
      <c r="CW206" s="184"/>
      <c r="CX206" s="184"/>
      <c r="CY206" s="184"/>
      <c r="CZ206" s="184"/>
      <c r="DA206" s="184"/>
      <c r="DB206" s="184"/>
      <c r="DC206" s="184"/>
      <c r="DE206" t="s">
        <v>85</v>
      </c>
      <c r="DF206" t="str">
        <f>A193&amp;"#"&amp;C193&amp;"#"&amp;D193</f>
        <v>Mauritius#Company#Mauritius Authorised company</v>
      </c>
    </row>
    <row r="207" spans="1:111" ht="78.75" hidden="1" customHeight="1" x14ac:dyDescent="0.35">
      <c r="A207" s="99" t="s">
        <v>1751</v>
      </c>
      <c r="B207" s="100" t="s">
        <v>1752</v>
      </c>
      <c r="C207" s="101" t="s">
        <v>88</v>
      </c>
      <c r="D207" s="101" t="s">
        <v>1753</v>
      </c>
      <c r="E207" s="101" t="s">
        <v>817</v>
      </c>
      <c r="F207" s="87" t="s">
        <v>711</v>
      </c>
      <c r="G207" s="87" t="s">
        <v>1754</v>
      </c>
      <c r="H207" s="87" t="s">
        <v>93</v>
      </c>
      <c r="I207" s="87" t="s">
        <v>1161</v>
      </c>
      <c r="J207" s="87" t="s">
        <v>1755</v>
      </c>
      <c r="K207" s="87" t="s">
        <v>96</v>
      </c>
      <c r="L207" s="87" t="s">
        <v>97</v>
      </c>
      <c r="M207" s="87" t="s">
        <v>98</v>
      </c>
      <c r="N207" s="87" t="s">
        <v>1756</v>
      </c>
      <c r="O207" s="87" t="s">
        <v>100</v>
      </c>
      <c r="P207" s="87" t="s">
        <v>101</v>
      </c>
      <c r="Q207" s="87" t="s">
        <v>102</v>
      </c>
      <c r="R207" s="87" t="s">
        <v>103</v>
      </c>
      <c r="S207" s="87" t="s">
        <v>104</v>
      </c>
      <c r="T207" s="87" t="s">
        <v>105</v>
      </c>
      <c r="U207" s="87" t="s">
        <v>106</v>
      </c>
      <c r="V207" s="88" t="s">
        <v>243</v>
      </c>
      <c r="W207" s="88" t="s">
        <v>203</v>
      </c>
      <c r="X207" s="88" t="s">
        <v>109</v>
      </c>
      <c r="Y207" s="88" t="s">
        <v>1757</v>
      </c>
      <c r="Z207" s="88" t="s">
        <v>1758</v>
      </c>
      <c r="AA207" s="88">
        <v>1</v>
      </c>
      <c r="AB207" s="88" t="s">
        <v>1759</v>
      </c>
      <c r="AC207" s="88" t="s">
        <v>1760</v>
      </c>
      <c r="AD207" s="102">
        <v>3500</v>
      </c>
      <c r="AE207" s="91" t="s">
        <v>115</v>
      </c>
      <c r="AF207" s="103" t="s">
        <v>1544</v>
      </c>
      <c r="AG207" s="91" t="s">
        <v>116</v>
      </c>
      <c r="AH207" s="103" t="s">
        <v>1544</v>
      </c>
      <c r="AI207" s="25" t="s">
        <v>117</v>
      </c>
      <c r="AJ207" s="103" t="s">
        <v>1544</v>
      </c>
      <c r="AK207" s="25" t="s">
        <v>117</v>
      </c>
      <c r="AL207" s="92">
        <v>0</v>
      </c>
      <c r="AM207" s="91" t="s">
        <v>115</v>
      </c>
      <c r="AN207" s="103" t="s">
        <v>1544</v>
      </c>
      <c r="AO207" s="25" t="s">
        <v>117</v>
      </c>
      <c r="AP207" s="102">
        <v>3820</v>
      </c>
      <c r="AQ207" s="91" t="s">
        <v>115</v>
      </c>
      <c r="AR207" s="103" t="s">
        <v>1544</v>
      </c>
      <c r="AS207" s="91" t="s">
        <v>117</v>
      </c>
      <c r="AT207" s="102">
        <v>6100</v>
      </c>
      <c r="AU207" s="91" t="s">
        <v>116</v>
      </c>
      <c r="AV207" s="102">
        <v>2040</v>
      </c>
      <c r="AW207" s="91" t="s">
        <v>115</v>
      </c>
      <c r="AX207" s="103" t="s">
        <v>118</v>
      </c>
      <c r="AY207" s="91" t="s">
        <v>115</v>
      </c>
      <c r="AZ207" s="89"/>
      <c r="BA207" s="23" t="s">
        <v>115</v>
      </c>
      <c r="BB207" s="102">
        <v>1750</v>
      </c>
      <c r="BC207" s="91" t="s">
        <v>115</v>
      </c>
      <c r="BD207" s="102">
        <v>4500</v>
      </c>
      <c r="BE207" s="91" t="s">
        <v>115</v>
      </c>
      <c r="BF207" s="102">
        <v>1500</v>
      </c>
      <c r="BG207" s="91" t="s">
        <v>115</v>
      </c>
      <c r="BH207" s="103" t="s">
        <v>1544</v>
      </c>
      <c r="BI207" s="25" t="s">
        <v>117</v>
      </c>
      <c r="BJ207" s="103" t="s">
        <v>1544</v>
      </c>
      <c r="BK207" s="25" t="s">
        <v>117</v>
      </c>
      <c r="BL207" s="102">
        <v>2000</v>
      </c>
      <c r="BM207" s="25" t="s">
        <v>116</v>
      </c>
      <c r="BN207" s="103" t="s">
        <v>1544</v>
      </c>
      <c r="BO207" s="25" t="s">
        <v>117</v>
      </c>
      <c r="BP207" s="103" t="s">
        <v>1544</v>
      </c>
      <c r="BQ207" s="25" t="s">
        <v>117</v>
      </c>
      <c r="BR207" s="103" t="s">
        <v>1544</v>
      </c>
      <c r="BS207" s="25" t="s">
        <v>117</v>
      </c>
      <c r="BT207" s="103" t="s">
        <v>1544</v>
      </c>
      <c r="BU207" s="25" t="s">
        <v>117</v>
      </c>
      <c r="BV207" s="103" t="s">
        <v>1544</v>
      </c>
      <c r="BW207" s="25" t="s">
        <v>117</v>
      </c>
      <c r="BX207" s="103" t="s">
        <v>1544</v>
      </c>
      <c r="BY207" s="25" t="s">
        <v>117</v>
      </c>
      <c r="BZ207" s="103" t="s">
        <v>1544</v>
      </c>
      <c r="CA207" s="25" t="s">
        <v>117</v>
      </c>
      <c r="CB207" s="103" t="s">
        <v>1544</v>
      </c>
      <c r="CC207" s="25" t="s">
        <v>117</v>
      </c>
      <c r="CD207" s="103" t="s">
        <v>1544</v>
      </c>
      <c r="CE207" s="25" t="s">
        <v>117</v>
      </c>
      <c r="CF207" s="103" t="s">
        <v>1544</v>
      </c>
      <c r="CG207" s="25" t="s">
        <v>117</v>
      </c>
      <c r="CH207" s="103" t="s">
        <v>1544</v>
      </c>
      <c r="CI207" s="25"/>
      <c r="CJ207" s="103" t="s">
        <v>1544</v>
      </c>
      <c r="CK207" s="104" t="s">
        <v>117</v>
      </c>
      <c r="CL207" s="103" t="s">
        <v>1544</v>
      </c>
      <c r="CM207" s="104" t="s">
        <v>117</v>
      </c>
      <c r="CN207" s="103" t="s">
        <v>1544</v>
      </c>
      <c r="CO207" s="25" t="s">
        <v>117</v>
      </c>
      <c r="CP207" s="95">
        <v>400</v>
      </c>
      <c r="CQ207" s="91" t="s">
        <v>115</v>
      </c>
      <c r="CR207" s="96" t="s">
        <v>1544</v>
      </c>
      <c r="CS207" s="91" t="s">
        <v>117</v>
      </c>
      <c r="CT207" s="96" t="s">
        <v>1544</v>
      </c>
      <c r="CU207" s="91" t="s">
        <v>117</v>
      </c>
      <c r="CV207" s="96" t="s">
        <v>1544</v>
      </c>
      <c r="CW207" s="91" t="s">
        <v>117</v>
      </c>
      <c r="CX207" s="96" t="s">
        <v>1544</v>
      </c>
      <c r="CY207" s="25" t="s">
        <v>117</v>
      </c>
      <c r="CZ207" s="96" t="s">
        <v>1544</v>
      </c>
      <c r="DA207" s="25" t="s">
        <v>117</v>
      </c>
      <c r="DB207" s="97" t="s">
        <v>1761</v>
      </c>
      <c r="DC207" s="25" t="s">
        <v>116</v>
      </c>
      <c r="DD207" s="34">
        <f t="shared" ref="DD207:DD212" si="48">ROUND(0.075*SUM(AD207,AF207,AH207,AJ207,AL207,AN207,AP207,AR207,AT207,AV207,AX207,AZ207,BB207,BR207,BT207,BV207,BX207,BZ207,CB207,CD207,CF207,CJ207,CL207,CN207,CP207,CR207,CT207,CV207,CX207,CZ207),0)</f>
        <v>1321</v>
      </c>
      <c r="DE207" s="89" t="s">
        <v>1762</v>
      </c>
      <c r="DF207" s="89" t="str">
        <f t="shared" ref="DF207:DF212" si="49">A207&amp;"#"&amp;C207&amp;"#"&amp;D207</f>
        <v>Netherlands#Company#Netherlands BV</v>
      </c>
      <c r="DG207" s="89" t="b">
        <f t="shared" ref="DG207:DG212" si="50">DE207=DF207</f>
        <v>1</v>
      </c>
    </row>
    <row r="208" spans="1:111" ht="15" hidden="1" customHeight="1" x14ac:dyDescent="0.35">
      <c r="A208" s="105" t="s">
        <v>1751</v>
      </c>
      <c r="B208" s="106" t="s">
        <v>1752</v>
      </c>
      <c r="C208" s="106" t="s">
        <v>88</v>
      </c>
      <c r="D208" s="106" t="s">
        <v>1763</v>
      </c>
      <c r="E208" s="106" t="s">
        <v>817</v>
      </c>
      <c r="F208" s="107" t="s">
        <v>721</v>
      </c>
      <c r="G208" s="107" t="s">
        <v>1764</v>
      </c>
      <c r="H208" s="107" t="s">
        <v>93</v>
      </c>
      <c r="I208" s="107" t="s">
        <v>1161</v>
      </c>
      <c r="J208" s="107" t="s">
        <v>1755</v>
      </c>
      <c r="K208" s="107" t="s">
        <v>96</v>
      </c>
      <c r="L208" s="107" t="s">
        <v>97</v>
      </c>
      <c r="M208" s="107" t="s">
        <v>98</v>
      </c>
      <c r="N208" s="107" t="s">
        <v>1756</v>
      </c>
      <c r="O208" s="107" t="s">
        <v>100</v>
      </c>
      <c r="P208" s="107" t="s">
        <v>101</v>
      </c>
      <c r="Q208" s="107" t="s">
        <v>102</v>
      </c>
      <c r="R208" s="107" t="s">
        <v>103</v>
      </c>
      <c r="S208" s="107" t="s">
        <v>104</v>
      </c>
      <c r="T208" s="107" t="s">
        <v>105</v>
      </c>
      <c r="U208" s="107" t="s">
        <v>106</v>
      </c>
      <c r="V208" s="108" t="s">
        <v>243</v>
      </c>
      <c r="W208" s="108" t="s">
        <v>203</v>
      </c>
      <c r="X208" s="108" t="s">
        <v>109</v>
      </c>
      <c r="Y208" s="108" t="s">
        <v>1765</v>
      </c>
      <c r="Z208" s="108" t="s">
        <v>256</v>
      </c>
      <c r="AA208" s="108">
        <v>1</v>
      </c>
      <c r="AB208" s="108" t="s">
        <v>1766</v>
      </c>
      <c r="AC208" s="108" t="s">
        <v>1767</v>
      </c>
      <c r="AD208" s="109">
        <v>3500</v>
      </c>
      <c r="AE208" s="110" t="s">
        <v>115</v>
      </c>
      <c r="AF208" s="111" t="s">
        <v>1544</v>
      </c>
      <c r="AG208" s="110" t="s">
        <v>116</v>
      </c>
      <c r="AH208" s="111" t="s">
        <v>1544</v>
      </c>
      <c r="AI208" s="25" t="s">
        <v>117</v>
      </c>
      <c r="AJ208" s="111" t="s">
        <v>1544</v>
      </c>
      <c r="AK208" s="25" t="s">
        <v>117</v>
      </c>
      <c r="AL208" s="112">
        <v>0</v>
      </c>
      <c r="AM208" s="110" t="s">
        <v>115</v>
      </c>
      <c r="AN208" s="111" t="s">
        <v>1544</v>
      </c>
      <c r="AO208" s="25" t="s">
        <v>117</v>
      </c>
      <c r="AP208" s="109">
        <v>3820</v>
      </c>
      <c r="AQ208" s="110" t="s">
        <v>115</v>
      </c>
      <c r="AR208" s="111" t="s">
        <v>1544</v>
      </c>
      <c r="AS208" s="110" t="s">
        <v>117</v>
      </c>
      <c r="AT208" s="109">
        <v>6100</v>
      </c>
      <c r="AU208" s="110" t="s">
        <v>116</v>
      </c>
      <c r="AV208" s="109">
        <v>2040</v>
      </c>
      <c r="AW208" s="110" t="s">
        <v>115</v>
      </c>
      <c r="AX208" s="111" t="s">
        <v>118</v>
      </c>
      <c r="AY208" s="110" t="s">
        <v>115</v>
      </c>
      <c r="AZ208" s="89"/>
      <c r="BA208" s="113" t="s">
        <v>115</v>
      </c>
      <c r="BB208" s="109">
        <v>1750</v>
      </c>
      <c r="BC208" s="110" t="s">
        <v>115</v>
      </c>
      <c r="BD208" s="109">
        <v>4500</v>
      </c>
      <c r="BE208" s="110" t="s">
        <v>115</v>
      </c>
      <c r="BF208" s="109">
        <v>1500</v>
      </c>
      <c r="BG208" s="110" t="s">
        <v>115</v>
      </c>
      <c r="BH208" s="114" t="s">
        <v>1544</v>
      </c>
      <c r="BI208" s="25" t="s">
        <v>117</v>
      </c>
      <c r="BJ208" s="114" t="s">
        <v>1544</v>
      </c>
      <c r="BK208" s="25" t="s">
        <v>117</v>
      </c>
      <c r="BL208" s="109">
        <v>2000</v>
      </c>
      <c r="BM208" s="25" t="s">
        <v>116</v>
      </c>
      <c r="BN208" s="114" t="s">
        <v>1544</v>
      </c>
      <c r="BO208" s="25" t="s">
        <v>117</v>
      </c>
      <c r="BP208" s="114" t="s">
        <v>1544</v>
      </c>
      <c r="BQ208" s="25" t="s">
        <v>117</v>
      </c>
      <c r="BR208" s="114" t="s">
        <v>1544</v>
      </c>
      <c r="BS208" s="25" t="s">
        <v>117</v>
      </c>
      <c r="BT208" s="114" t="s">
        <v>1544</v>
      </c>
      <c r="BU208" s="25" t="s">
        <v>117</v>
      </c>
      <c r="BV208" s="114" t="s">
        <v>1544</v>
      </c>
      <c r="BW208" s="25" t="s">
        <v>117</v>
      </c>
      <c r="BX208" s="114" t="s">
        <v>1544</v>
      </c>
      <c r="BY208" s="25" t="s">
        <v>117</v>
      </c>
      <c r="BZ208" s="114" t="s">
        <v>1544</v>
      </c>
      <c r="CA208" s="25" t="s">
        <v>117</v>
      </c>
      <c r="CB208" s="114" t="s">
        <v>1544</v>
      </c>
      <c r="CC208" s="25" t="s">
        <v>117</v>
      </c>
      <c r="CD208" s="114" t="s">
        <v>1544</v>
      </c>
      <c r="CE208" s="25" t="s">
        <v>117</v>
      </c>
      <c r="CF208" s="114" t="s">
        <v>1544</v>
      </c>
      <c r="CG208" s="25" t="s">
        <v>117</v>
      </c>
      <c r="CH208" s="114" t="s">
        <v>1544</v>
      </c>
      <c r="CI208" s="25"/>
      <c r="CJ208" s="114" t="s">
        <v>1544</v>
      </c>
      <c r="CK208" s="115" t="s">
        <v>117</v>
      </c>
      <c r="CL208" s="114" t="s">
        <v>1544</v>
      </c>
      <c r="CM208" s="115" t="s">
        <v>117</v>
      </c>
      <c r="CN208" s="114" t="s">
        <v>1544</v>
      </c>
      <c r="CO208" s="25" t="s">
        <v>117</v>
      </c>
      <c r="CP208" s="116">
        <v>400</v>
      </c>
      <c r="CQ208" s="110" t="s">
        <v>115</v>
      </c>
      <c r="CR208" s="117" t="s">
        <v>1544</v>
      </c>
      <c r="CS208" s="110" t="s">
        <v>117</v>
      </c>
      <c r="CT208" s="117" t="s">
        <v>1544</v>
      </c>
      <c r="CU208" s="110" t="s">
        <v>117</v>
      </c>
      <c r="CV208" s="117" t="s">
        <v>1544</v>
      </c>
      <c r="CW208" s="110" t="s">
        <v>117</v>
      </c>
      <c r="CX208" s="117" t="s">
        <v>1544</v>
      </c>
      <c r="CY208" s="25" t="s">
        <v>117</v>
      </c>
      <c r="CZ208" s="117" t="s">
        <v>1544</v>
      </c>
      <c r="DA208" s="25" t="s">
        <v>117</v>
      </c>
      <c r="DB208" s="118" t="s">
        <v>1761</v>
      </c>
      <c r="DC208" s="25" t="s">
        <v>116</v>
      </c>
      <c r="DD208" s="34">
        <f t="shared" si="48"/>
        <v>1321</v>
      </c>
      <c r="DE208" s="89" t="s">
        <v>1768</v>
      </c>
      <c r="DF208" s="89" t="str">
        <f t="shared" si="49"/>
        <v>Netherlands#Company#Netherlands NV</v>
      </c>
      <c r="DG208" s="89" t="b">
        <f t="shared" si="50"/>
        <v>1</v>
      </c>
    </row>
    <row r="209" spans="1:111" ht="78.75" hidden="1" customHeight="1" x14ac:dyDescent="0.35">
      <c r="A209" s="119" t="s">
        <v>1751</v>
      </c>
      <c r="B209" s="106" t="s">
        <v>1752</v>
      </c>
      <c r="C209" s="120" t="s">
        <v>460</v>
      </c>
      <c r="D209" s="120" t="s">
        <v>1769</v>
      </c>
      <c r="E209" s="120" t="s">
        <v>817</v>
      </c>
      <c r="F209" s="107" t="s">
        <v>739</v>
      </c>
      <c r="G209" s="107" t="s">
        <v>1770</v>
      </c>
      <c r="H209" s="107" t="s">
        <v>145</v>
      </c>
      <c r="I209" s="107" t="s">
        <v>146</v>
      </c>
      <c r="J209" s="107" t="s">
        <v>1755</v>
      </c>
      <c r="K209" s="107" t="s">
        <v>96</v>
      </c>
      <c r="L209" s="107" t="s">
        <v>97</v>
      </c>
      <c r="M209" s="107" t="s">
        <v>98</v>
      </c>
      <c r="N209" s="107" t="s">
        <v>147</v>
      </c>
      <c r="O209" s="107" t="s">
        <v>148</v>
      </c>
      <c r="P209" s="107" t="s">
        <v>149</v>
      </c>
      <c r="Q209" s="107" t="s">
        <v>150</v>
      </c>
      <c r="R209" s="107" t="s">
        <v>151</v>
      </c>
      <c r="S209" s="107" t="s">
        <v>152</v>
      </c>
      <c r="T209" s="107" t="s">
        <v>153</v>
      </c>
      <c r="U209" s="107" t="s">
        <v>154</v>
      </c>
      <c r="V209" s="108" t="s">
        <v>292</v>
      </c>
      <c r="W209" s="108" t="s">
        <v>203</v>
      </c>
      <c r="X209" s="108" t="s">
        <v>164</v>
      </c>
      <c r="Y209" s="108" t="s">
        <v>1771</v>
      </c>
      <c r="Z209" s="108" t="s">
        <v>256</v>
      </c>
      <c r="AA209" s="108" t="s">
        <v>166</v>
      </c>
      <c r="AB209" s="108" t="s">
        <v>1772</v>
      </c>
      <c r="AC209" s="108" t="s">
        <v>1773</v>
      </c>
      <c r="AD209" s="109">
        <v>3500</v>
      </c>
      <c r="AE209" s="110" t="s">
        <v>115</v>
      </c>
      <c r="AF209" s="121" t="s">
        <v>1544</v>
      </c>
      <c r="AG209" s="110" t="s">
        <v>116</v>
      </c>
      <c r="AH209" s="121" t="s">
        <v>1544</v>
      </c>
      <c r="AI209" s="25" t="s">
        <v>117</v>
      </c>
      <c r="AJ209" s="121" t="s">
        <v>1544</v>
      </c>
      <c r="AK209" s="25" t="s">
        <v>117</v>
      </c>
      <c r="AL209" s="112">
        <v>0</v>
      </c>
      <c r="AM209" s="110" t="s">
        <v>115</v>
      </c>
      <c r="AN209" s="121" t="s">
        <v>1544</v>
      </c>
      <c r="AO209" s="25" t="s">
        <v>117</v>
      </c>
      <c r="AP209" s="109">
        <v>3820</v>
      </c>
      <c r="AQ209" s="110" t="s">
        <v>115</v>
      </c>
      <c r="AR209" s="121" t="s">
        <v>1544</v>
      </c>
      <c r="AS209" s="110" t="s">
        <v>117</v>
      </c>
      <c r="AT209" s="109">
        <v>6100</v>
      </c>
      <c r="AU209" s="110" t="s">
        <v>116</v>
      </c>
      <c r="AV209" s="109">
        <v>2040</v>
      </c>
      <c r="AW209" s="110" t="s">
        <v>115</v>
      </c>
      <c r="AX209" s="121" t="s">
        <v>118</v>
      </c>
      <c r="AY209" s="110" t="s">
        <v>115</v>
      </c>
      <c r="AZ209" s="89"/>
      <c r="BA209" s="113" t="s">
        <v>115</v>
      </c>
      <c r="BB209" s="109">
        <v>1750</v>
      </c>
      <c r="BC209" s="110" t="s">
        <v>115</v>
      </c>
      <c r="BD209" s="109">
        <v>4500</v>
      </c>
      <c r="BE209" s="110" t="s">
        <v>115</v>
      </c>
      <c r="BF209" s="109">
        <v>1500</v>
      </c>
      <c r="BG209" s="110" t="s">
        <v>115</v>
      </c>
      <c r="BH209" s="114" t="s">
        <v>1544</v>
      </c>
      <c r="BI209" s="25" t="s">
        <v>117</v>
      </c>
      <c r="BJ209" s="114" t="s">
        <v>1544</v>
      </c>
      <c r="BK209" s="25" t="s">
        <v>117</v>
      </c>
      <c r="BL209" s="109">
        <v>2000</v>
      </c>
      <c r="BM209" s="25" t="s">
        <v>116</v>
      </c>
      <c r="BN209" s="114" t="s">
        <v>1544</v>
      </c>
      <c r="BO209" s="25" t="s">
        <v>117</v>
      </c>
      <c r="BP209" s="114" t="s">
        <v>1544</v>
      </c>
      <c r="BQ209" s="25" t="s">
        <v>117</v>
      </c>
      <c r="BR209" s="121" t="s">
        <v>1544</v>
      </c>
      <c r="BS209" s="25" t="s">
        <v>117</v>
      </c>
      <c r="BT209" s="114" t="s">
        <v>1544</v>
      </c>
      <c r="BU209" s="25" t="s">
        <v>117</v>
      </c>
      <c r="BV209" s="114" t="s">
        <v>1544</v>
      </c>
      <c r="BW209" s="25" t="s">
        <v>117</v>
      </c>
      <c r="BX209" s="114" t="s">
        <v>1544</v>
      </c>
      <c r="BY209" s="25" t="s">
        <v>117</v>
      </c>
      <c r="BZ209" s="111" t="s">
        <v>1544</v>
      </c>
      <c r="CA209" s="25" t="s">
        <v>117</v>
      </c>
      <c r="CB209" s="111" t="s">
        <v>1544</v>
      </c>
      <c r="CC209" s="25" t="s">
        <v>117</v>
      </c>
      <c r="CD209" s="114" t="s">
        <v>1544</v>
      </c>
      <c r="CE209" s="25" t="s">
        <v>117</v>
      </c>
      <c r="CF209" s="114" t="s">
        <v>1544</v>
      </c>
      <c r="CG209" s="25" t="s">
        <v>117</v>
      </c>
      <c r="CH209" s="114" t="s">
        <v>1544</v>
      </c>
      <c r="CI209" s="25"/>
      <c r="CJ209" s="114" t="s">
        <v>1544</v>
      </c>
      <c r="CK209" s="115" t="s">
        <v>117</v>
      </c>
      <c r="CL209" s="114" t="s">
        <v>1544</v>
      </c>
      <c r="CM209" s="115" t="s">
        <v>117</v>
      </c>
      <c r="CN209" s="114" t="s">
        <v>1544</v>
      </c>
      <c r="CO209" s="25" t="s">
        <v>117</v>
      </c>
      <c r="CP209" s="116">
        <v>400</v>
      </c>
      <c r="CQ209" s="110" t="s">
        <v>115</v>
      </c>
      <c r="CR209" s="117" t="s">
        <v>1544</v>
      </c>
      <c r="CS209" s="110" t="s">
        <v>117</v>
      </c>
      <c r="CT209" s="117" t="s">
        <v>1544</v>
      </c>
      <c r="CU209" s="110" t="s">
        <v>117</v>
      </c>
      <c r="CV209" s="117" t="s">
        <v>1544</v>
      </c>
      <c r="CW209" s="110" t="s">
        <v>117</v>
      </c>
      <c r="CX209" s="117" t="s">
        <v>1544</v>
      </c>
      <c r="CY209" s="25" t="s">
        <v>117</v>
      </c>
      <c r="CZ209" s="117" t="s">
        <v>1544</v>
      </c>
      <c r="DA209" s="25" t="s">
        <v>117</v>
      </c>
      <c r="DB209" s="118" t="s">
        <v>1761</v>
      </c>
      <c r="DC209" s="25" t="s">
        <v>116</v>
      </c>
      <c r="DD209" s="34">
        <f t="shared" si="48"/>
        <v>1321</v>
      </c>
      <c r="DE209" s="89" t="s">
        <v>1774</v>
      </c>
      <c r="DF209" s="89" t="str">
        <f t="shared" si="49"/>
        <v>Netherlands#Partnership#Netherlands CV</v>
      </c>
      <c r="DG209" s="89" t="b">
        <f t="shared" si="50"/>
        <v>1</v>
      </c>
    </row>
    <row r="210" spans="1:111" ht="123.75" customHeight="1" x14ac:dyDescent="0.35">
      <c r="A210" s="105" t="s">
        <v>1751</v>
      </c>
      <c r="B210" s="106" t="s">
        <v>1752</v>
      </c>
      <c r="C210" s="106" t="s">
        <v>141</v>
      </c>
      <c r="D210" s="106" t="s">
        <v>1775</v>
      </c>
      <c r="E210" s="106" t="s">
        <v>817</v>
      </c>
      <c r="F210" s="107" t="s">
        <v>770</v>
      </c>
      <c r="G210" s="107" t="s">
        <v>1776</v>
      </c>
      <c r="H210" s="107" t="s">
        <v>145</v>
      </c>
      <c r="I210" s="107" t="s">
        <v>146</v>
      </c>
      <c r="J210" s="107" t="s">
        <v>1755</v>
      </c>
      <c r="K210" s="107" t="s">
        <v>96</v>
      </c>
      <c r="L210" s="107" t="s">
        <v>97</v>
      </c>
      <c r="M210" s="107" t="s">
        <v>98</v>
      </c>
      <c r="N210" s="107" t="s">
        <v>147</v>
      </c>
      <c r="O210" s="107" t="s">
        <v>148</v>
      </c>
      <c r="P210" s="107" t="s">
        <v>149</v>
      </c>
      <c r="Q210" s="107" t="s">
        <v>150</v>
      </c>
      <c r="R210" s="107" t="s">
        <v>151</v>
      </c>
      <c r="S210" s="107" t="s">
        <v>152</v>
      </c>
      <c r="T210" s="107" t="s">
        <v>153</v>
      </c>
      <c r="U210" s="107" t="s">
        <v>154</v>
      </c>
      <c r="V210" s="108" t="s">
        <v>1524</v>
      </c>
      <c r="W210" s="108" t="s">
        <v>203</v>
      </c>
      <c r="X210" s="108" t="s">
        <v>772</v>
      </c>
      <c r="Y210" s="108" t="s">
        <v>1777</v>
      </c>
      <c r="Z210" s="108" t="s">
        <v>256</v>
      </c>
      <c r="AA210" s="108" t="s">
        <v>630</v>
      </c>
      <c r="AB210" s="108" t="s">
        <v>1778</v>
      </c>
      <c r="AC210" s="108" t="s">
        <v>1779</v>
      </c>
      <c r="AD210" s="109">
        <v>3500</v>
      </c>
      <c r="AE210" s="110" t="s">
        <v>115</v>
      </c>
      <c r="AF210" s="121" t="s">
        <v>1544</v>
      </c>
      <c r="AG210" s="110" t="s">
        <v>116</v>
      </c>
      <c r="AH210" s="121" t="s">
        <v>1544</v>
      </c>
      <c r="AI210" s="25" t="s">
        <v>117</v>
      </c>
      <c r="AJ210" s="121" t="s">
        <v>1544</v>
      </c>
      <c r="AK210" s="25" t="s">
        <v>117</v>
      </c>
      <c r="AL210" s="112">
        <v>0</v>
      </c>
      <c r="AM210" s="110" t="s">
        <v>115</v>
      </c>
      <c r="AN210" s="121" t="s">
        <v>1544</v>
      </c>
      <c r="AO210" s="25" t="s">
        <v>117</v>
      </c>
      <c r="AP210" s="109">
        <v>3820</v>
      </c>
      <c r="AQ210" s="110" t="s">
        <v>115</v>
      </c>
      <c r="AR210" s="111" t="s">
        <v>1544</v>
      </c>
      <c r="AS210" s="110" t="s">
        <v>117</v>
      </c>
      <c r="AT210" s="109">
        <v>6100</v>
      </c>
      <c r="AU210" s="110" t="s">
        <v>116</v>
      </c>
      <c r="AV210" s="109">
        <v>2040</v>
      </c>
      <c r="AW210" s="110" t="s">
        <v>115</v>
      </c>
      <c r="AX210" s="111" t="s">
        <v>118</v>
      </c>
      <c r="AY210" s="110" t="s">
        <v>115</v>
      </c>
      <c r="AZ210" s="89"/>
      <c r="BA210" s="113" t="s">
        <v>115</v>
      </c>
      <c r="BB210" s="109">
        <v>1750</v>
      </c>
      <c r="BC210" s="110" t="s">
        <v>115</v>
      </c>
      <c r="BD210" s="109">
        <v>4500</v>
      </c>
      <c r="BE210" s="110" t="s">
        <v>115</v>
      </c>
      <c r="BF210" s="109">
        <v>1500</v>
      </c>
      <c r="BG210" s="110" t="s">
        <v>115</v>
      </c>
      <c r="BH210" s="114" t="s">
        <v>1544</v>
      </c>
      <c r="BI210" s="25" t="s">
        <v>117</v>
      </c>
      <c r="BJ210" s="114" t="s">
        <v>1544</v>
      </c>
      <c r="BK210" s="25" t="s">
        <v>117</v>
      </c>
      <c r="BL210" s="109">
        <v>2000</v>
      </c>
      <c r="BM210" s="25" t="s">
        <v>116</v>
      </c>
      <c r="BN210" s="114" t="s">
        <v>1544</v>
      </c>
      <c r="BO210" s="25" t="s">
        <v>117</v>
      </c>
      <c r="BP210" s="114" t="s">
        <v>1544</v>
      </c>
      <c r="BQ210" s="25" t="s">
        <v>117</v>
      </c>
      <c r="BR210" s="121" t="s">
        <v>1544</v>
      </c>
      <c r="BS210" s="25" t="s">
        <v>117</v>
      </c>
      <c r="BT210" s="114" t="s">
        <v>1544</v>
      </c>
      <c r="BU210" s="25" t="s">
        <v>117</v>
      </c>
      <c r="BV210" s="114" t="s">
        <v>1544</v>
      </c>
      <c r="BW210" s="25" t="s">
        <v>117</v>
      </c>
      <c r="BX210" s="114" t="s">
        <v>1544</v>
      </c>
      <c r="BY210" s="25" t="s">
        <v>117</v>
      </c>
      <c r="BZ210" s="111" t="s">
        <v>1544</v>
      </c>
      <c r="CA210" s="25" t="s">
        <v>117</v>
      </c>
      <c r="CB210" s="111" t="s">
        <v>1544</v>
      </c>
      <c r="CC210" s="25" t="s">
        <v>117</v>
      </c>
      <c r="CD210" s="114" t="s">
        <v>1544</v>
      </c>
      <c r="CE210" s="25" t="s">
        <v>117</v>
      </c>
      <c r="CF210" s="114" t="s">
        <v>1544</v>
      </c>
      <c r="CG210" s="25" t="s">
        <v>117</v>
      </c>
      <c r="CH210" s="151">
        <v>5000</v>
      </c>
      <c r="CI210" s="25" t="s">
        <v>116</v>
      </c>
      <c r="CJ210" s="151">
        <v>2500</v>
      </c>
      <c r="CK210" s="48" t="s">
        <v>116</v>
      </c>
      <c r="CL210" s="46">
        <v>1500</v>
      </c>
      <c r="CM210" s="48" t="s">
        <v>116</v>
      </c>
      <c r="CN210" s="46">
        <v>1500</v>
      </c>
      <c r="CO210" s="25" t="s">
        <v>116</v>
      </c>
      <c r="CP210" s="116">
        <v>400</v>
      </c>
      <c r="CQ210" s="110" t="s">
        <v>115</v>
      </c>
      <c r="CR210" s="117" t="s">
        <v>1544</v>
      </c>
      <c r="CS210" s="110" t="s">
        <v>117</v>
      </c>
      <c r="CT210" s="117" t="s">
        <v>1544</v>
      </c>
      <c r="CU210" s="110" t="s">
        <v>117</v>
      </c>
      <c r="CV210" s="117" t="s">
        <v>1544</v>
      </c>
      <c r="CW210" s="110" t="s">
        <v>117</v>
      </c>
      <c r="CX210" s="117" t="s">
        <v>1544</v>
      </c>
      <c r="CY210" s="25" t="s">
        <v>117</v>
      </c>
      <c r="CZ210" s="117" t="s">
        <v>1544</v>
      </c>
      <c r="DA210" s="25" t="s">
        <v>117</v>
      </c>
      <c r="DB210" s="118" t="s">
        <v>1761</v>
      </c>
      <c r="DC210" s="25" t="s">
        <v>116</v>
      </c>
      <c r="DD210" s="34">
        <f t="shared" si="48"/>
        <v>1733</v>
      </c>
      <c r="DE210" s="89" t="s">
        <v>1780</v>
      </c>
      <c r="DF210" s="89" t="str">
        <f t="shared" si="49"/>
        <v>Netherlands#Fund#Netherlands FGR</v>
      </c>
      <c r="DG210" s="89" t="b">
        <f t="shared" si="50"/>
        <v>1</v>
      </c>
    </row>
    <row r="211" spans="1:111" ht="15" hidden="1" customHeight="1" x14ac:dyDescent="0.35">
      <c r="A211" s="119" t="s">
        <v>1751</v>
      </c>
      <c r="B211" s="106" t="s">
        <v>1752</v>
      </c>
      <c r="C211" s="120" t="s">
        <v>88</v>
      </c>
      <c r="D211" s="120" t="s">
        <v>1781</v>
      </c>
      <c r="E211" s="120" t="s">
        <v>817</v>
      </c>
      <c r="F211" s="107" t="s">
        <v>1782</v>
      </c>
      <c r="G211" s="107" t="s">
        <v>1783</v>
      </c>
      <c r="H211" s="107" t="s">
        <v>145</v>
      </c>
      <c r="I211" s="107" t="s">
        <v>146</v>
      </c>
      <c r="J211" s="107" t="s">
        <v>1755</v>
      </c>
      <c r="K211" s="107" t="s">
        <v>96</v>
      </c>
      <c r="L211" s="107" t="s">
        <v>97</v>
      </c>
      <c r="M211" s="107" t="s">
        <v>98</v>
      </c>
      <c r="N211" s="107" t="s">
        <v>147</v>
      </c>
      <c r="O211" s="107" t="s">
        <v>148</v>
      </c>
      <c r="P211" s="107" t="s">
        <v>149</v>
      </c>
      <c r="Q211" s="107" t="s">
        <v>150</v>
      </c>
      <c r="R211" s="107" t="s">
        <v>151</v>
      </c>
      <c r="S211" s="107" t="s">
        <v>152</v>
      </c>
      <c r="T211" s="107" t="s">
        <v>153</v>
      </c>
      <c r="U211" s="107" t="s">
        <v>154</v>
      </c>
      <c r="V211" s="108" t="s">
        <v>292</v>
      </c>
      <c r="W211" s="108" t="s">
        <v>203</v>
      </c>
      <c r="X211" s="108" t="s">
        <v>1784</v>
      </c>
      <c r="Y211" s="108" t="s">
        <v>1785</v>
      </c>
      <c r="Z211" s="108" t="s">
        <v>256</v>
      </c>
      <c r="AA211" s="108" t="s">
        <v>191</v>
      </c>
      <c r="AB211" s="108" t="s">
        <v>1786</v>
      </c>
      <c r="AC211" s="108" t="s">
        <v>1787</v>
      </c>
      <c r="AD211" s="109">
        <v>3500</v>
      </c>
      <c r="AE211" s="110" t="s">
        <v>115</v>
      </c>
      <c r="AF211" s="121" t="s">
        <v>1544</v>
      </c>
      <c r="AG211" s="110" t="s">
        <v>116</v>
      </c>
      <c r="AH211" s="121" t="s">
        <v>1544</v>
      </c>
      <c r="AI211" s="25" t="s">
        <v>117</v>
      </c>
      <c r="AJ211" s="121" t="s">
        <v>1544</v>
      </c>
      <c r="AK211" s="25" t="s">
        <v>117</v>
      </c>
      <c r="AL211" s="112">
        <v>0</v>
      </c>
      <c r="AM211" s="110" t="s">
        <v>115</v>
      </c>
      <c r="AN211" s="121" t="s">
        <v>1544</v>
      </c>
      <c r="AO211" s="25" t="s">
        <v>117</v>
      </c>
      <c r="AP211" s="109">
        <v>3820</v>
      </c>
      <c r="AQ211" s="110" t="s">
        <v>115</v>
      </c>
      <c r="AR211" s="121" t="s">
        <v>1544</v>
      </c>
      <c r="AS211" s="110" t="s">
        <v>117</v>
      </c>
      <c r="AT211" s="109">
        <v>6100</v>
      </c>
      <c r="AU211" s="110" t="s">
        <v>116</v>
      </c>
      <c r="AV211" s="109">
        <v>2040</v>
      </c>
      <c r="AW211" s="110" t="s">
        <v>115</v>
      </c>
      <c r="AX211" s="121" t="s">
        <v>118</v>
      </c>
      <c r="AY211" s="110" t="s">
        <v>115</v>
      </c>
      <c r="AZ211" s="89"/>
      <c r="BA211" s="113" t="s">
        <v>115</v>
      </c>
      <c r="BB211" s="109">
        <v>1750</v>
      </c>
      <c r="BC211" s="110" t="s">
        <v>115</v>
      </c>
      <c r="BD211" s="109">
        <v>4500</v>
      </c>
      <c r="BE211" s="110" t="s">
        <v>115</v>
      </c>
      <c r="BF211" s="109">
        <v>1500</v>
      </c>
      <c r="BG211" s="110" t="s">
        <v>115</v>
      </c>
      <c r="BH211" s="114" t="s">
        <v>1544</v>
      </c>
      <c r="BI211" s="25" t="s">
        <v>117</v>
      </c>
      <c r="BJ211" s="114" t="s">
        <v>1544</v>
      </c>
      <c r="BK211" s="25" t="s">
        <v>117</v>
      </c>
      <c r="BL211" s="109">
        <v>2000</v>
      </c>
      <c r="BM211" s="25" t="s">
        <v>116</v>
      </c>
      <c r="BN211" s="114" t="s">
        <v>1544</v>
      </c>
      <c r="BO211" s="25" t="s">
        <v>117</v>
      </c>
      <c r="BP211" s="114" t="s">
        <v>1544</v>
      </c>
      <c r="BQ211" s="25" t="s">
        <v>117</v>
      </c>
      <c r="BR211" s="121" t="s">
        <v>1544</v>
      </c>
      <c r="BS211" s="25" t="s">
        <v>117</v>
      </c>
      <c r="BT211" s="114" t="s">
        <v>1544</v>
      </c>
      <c r="BU211" s="25" t="s">
        <v>117</v>
      </c>
      <c r="BV211" s="114" t="s">
        <v>1544</v>
      </c>
      <c r="BW211" s="25" t="s">
        <v>117</v>
      </c>
      <c r="BX211" s="114" t="s">
        <v>1544</v>
      </c>
      <c r="BY211" s="25" t="s">
        <v>117</v>
      </c>
      <c r="BZ211" s="111" t="s">
        <v>1544</v>
      </c>
      <c r="CA211" s="25" t="s">
        <v>117</v>
      </c>
      <c r="CB211" s="111" t="s">
        <v>1544</v>
      </c>
      <c r="CC211" s="25" t="s">
        <v>117</v>
      </c>
      <c r="CD211" s="114" t="s">
        <v>1544</v>
      </c>
      <c r="CE211" s="25" t="s">
        <v>117</v>
      </c>
      <c r="CF211" s="114" t="s">
        <v>1544</v>
      </c>
      <c r="CG211" s="25" t="s">
        <v>117</v>
      </c>
      <c r="CH211" s="114" t="s">
        <v>1544</v>
      </c>
      <c r="CI211" s="25"/>
      <c r="CJ211" s="114" t="s">
        <v>1544</v>
      </c>
      <c r="CK211" s="115" t="s">
        <v>117</v>
      </c>
      <c r="CL211" s="114" t="s">
        <v>1544</v>
      </c>
      <c r="CM211" s="115" t="s">
        <v>117</v>
      </c>
      <c r="CN211" s="114" t="s">
        <v>1544</v>
      </c>
      <c r="CO211" s="25" t="s">
        <v>117</v>
      </c>
      <c r="CP211" s="116">
        <v>400</v>
      </c>
      <c r="CQ211" s="110" t="s">
        <v>115</v>
      </c>
      <c r="CR211" s="117" t="s">
        <v>1544</v>
      </c>
      <c r="CS211" s="110" t="s">
        <v>117</v>
      </c>
      <c r="CT211" s="117" t="s">
        <v>1544</v>
      </c>
      <c r="CU211" s="110" t="s">
        <v>117</v>
      </c>
      <c r="CV211" s="117" t="s">
        <v>1544</v>
      </c>
      <c r="CW211" s="110" t="s">
        <v>117</v>
      </c>
      <c r="CX211" s="117" t="s">
        <v>1544</v>
      </c>
      <c r="CY211" s="25" t="s">
        <v>117</v>
      </c>
      <c r="CZ211" s="117" t="s">
        <v>1544</v>
      </c>
      <c r="DA211" s="25" t="s">
        <v>117</v>
      </c>
      <c r="DB211" s="118" t="s">
        <v>1761</v>
      </c>
      <c r="DC211" s="25" t="s">
        <v>116</v>
      </c>
      <c r="DD211" s="34">
        <f t="shared" si="48"/>
        <v>1321</v>
      </c>
      <c r="DE211" s="89" t="s">
        <v>1788</v>
      </c>
      <c r="DF211" s="89" t="str">
        <f t="shared" si="49"/>
        <v>Netherlands#Company#Netherlands Cooperatie UA</v>
      </c>
      <c r="DG211" s="89" t="b">
        <f t="shared" si="50"/>
        <v>1</v>
      </c>
    </row>
    <row r="212" spans="1:111" ht="87.75" hidden="1" customHeight="1" x14ac:dyDescent="0.35">
      <c r="A212" s="119" t="s">
        <v>1751</v>
      </c>
      <c r="B212" s="106" t="s">
        <v>1752</v>
      </c>
      <c r="C212" s="120" t="s">
        <v>746</v>
      </c>
      <c r="D212" s="120" t="s">
        <v>1789</v>
      </c>
      <c r="E212" s="120" t="s">
        <v>817</v>
      </c>
      <c r="F212" s="107" t="s">
        <v>1790</v>
      </c>
      <c r="G212" s="107" t="s">
        <v>1791</v>
      </c>
      <c r="H212" s="107" t="s">
        <v>126</v>
      </c>
      <c r="I212" s="107" t="s">
        <v>1792</v>
      </c>
      <c r="J212" s="107" t="s">
        <v>1755</v>
      </c>
      <c r="K212" s="107" t="s">
        <v>96</v>
      </c>
      <c r="L212" s="107" t="s">
        <v>97</v>
      </c>
      <c r="M212" s="107" t="s">
        <v>98</v>
      </c>
      <c r="N212" s="107" t="s">
        <v>1793</v>
      </c>
      <c r="O212" s="107" t="s">
        <v>1794</v>
      </c>
      <c r="P212" s="107" t="s">
        <v>1795</v>
      </c>
      <c r="Q212" s="107" t="s">
        <v>1796</v>
      </c>
      <c r="R212" s="107" t="s">
        <v>1797</v>
      </c>
      <c r="S212" s="107" t="s">
        <v>1798</v>
      </c>
      <c r="T212" s="107" t="s">
        <v>1799</v>
      </c>
      <c r="U212" s="107" t="s">
        <v>1800</v>
      </c>
      <c r="V212" s="108" t="s">
        <v>746</v>
      </c>
      <c r="W212" s="108" t="s">
        <v>203</v>
      </c>
      <c r="X212" s="108" t="s">
        <v>750</v>
      </c>
      <c r="Y212" s="108" t="s">
        <v>1801</v>
      </c>
      <c r="Z212" s="108" t="s">
        <v>1758</v>
      </c>
      <c r="AA212" s="108" t="s">
        <v>1802</v>
      </c>
      <c r="AB212" s="108" t="s">
        <v>1803</v>
      </c>
      <c r="AC212" s="108" t="s">
        <v>1804</v>
      </c>
      <c r="AD212" s="122">
        <v>3500</v>
      </c>
      <c r="AE212" s="110" t="s">
        <v>115</v>
      </c>
      <c r="AF212" s="121" t="s">
        <v>1544</v>
      </c>
      <c r="AG212" s="110" t="s">
        <v>116</v>
      </c>
      <c r="AH212" s="121" t="s">
        <v>1544</v>
      </c>
      <c r="AI212" s="25" t="s">
        <v>117</v>
      </c>
      <c r="AJ212" s="121" t="s">
        <v>1544</v>
      </c>
      <c r="AK212" s="25" t="s">
        <v>117</v>
      </c>
      <c r="AL212" s="112">
        <v>0</v>
      </c>
      <c r="AM212" s="110" t="s">
        <v>115</v>
      </c>
      <c r="AN212" s="122">
        <v>2000</v>
      </c>
      <c r="AO212" s="25" t="s">
        <v>116</v>
      </c>
      <c r="AP212" s="122">
        <v>3250</v>
      </c>
      <c r="AQ212" s="110" t="s">
        <v>115</v>
      </c>
      <c r="AR212" s="121" t="s">
        <v>1544</v>
      </c>
      <c r="AS212" s="110" t="s">
        <v>117</v>
      </c>
      <c r="AT212" s="122">
        <v>4500</v>
      </c>
      <c r="AU212" s="110" t="s">
        <v>116</v>
      </c>
      <c r="AV212" s="122">
        <v>2010</v>
      </c>
      <c r="AW212" s="110" t="s">
        <v>115</v>
      </c>
      <c r="AX212" s="121" t="s">
        <v>118</v>
      </c>
      <c r="AY212" s="110" t="s">
        <v>115</v>
      </c>
      <c r="AZ212" s="89"/>
      <c r="BA212" s="113" t="s">
        <v>115</v>
      </c>
      <c r="BB212" s="109">
        <v>1750</v>
      </c>
      <c r="BC212" s="110" t="s">
        <v>115</v>
      </c>
      <c r="BD212" s="122">
        <v>3250</v>
      </c>
      <c r="BE212" s="110" t="s">
        <v>115</v>
      </c>
      <c r="BF212" s="109">
        <v>1500</v>
      </c>
      <c r="BG212" s="110" t="s">
        <v>115</v>
      </c>
      <c r="BH212" s="114" t="s">
        <v>1544</v>
      </c>
      <c r="BI212" s="25" t="s">
        <v>117</v>
      </c>
      <c r="BJ212" s="114" t="s">
        <v>1544</v>
      </c>
      <c r="BK212" s="25" t="s">
        <v>117</v>
      </c>
      <c r="BL212" s="122">
        <v>1750</v>
      </c>
      <c r="BM212" s="25" t="s">
        <v>116</v>
      </c>
      <c r="BN212" s="114" t="s">
        <v>1544</v>
      </c>
      <c r="BO212" s="25" t="s">
        <v>117</v>
      </c>
      <c r="BP212" s="114" t="s">
        <v>1544</v>
      </c>
      <c r="BQ212" s="25" t="s">
        <v>117</v>
      </c>
      <c r="BR212" s="121" t="s">
        <v>1544</v>
      </c>
      <c r="BS212" s="25" t="s">
        <v>117</v>
      </c>
      <c r="BT212" s="114" t="s">
        <v>1544</v>
      </c>
      <c r="BU212" s="25" t="s">
        <v>117</v>
      </c>
      <c r="BV212" s="114" t="s">
        <v>1544</v>
      </c>
      <c r="BW212" s="25" t="s">
        <v>117</v>
      </c>
      <c r="BX212" s="114" t="s">
        <v>1544</v>
      </c>
      <c r="BY212" s="25" t="s">
        <v>117</v>
      </c>
      <c r="BZ212" s="111" t="s">
        <v>1544</v>
      </c>
      <c r="CA212" s="25" t="s">
        <v>117</v>
      </c>
      <c r="CB212" s="111" t="s">
        <v>1544</v>
      </c>
      <c r="CC212" s="25" t="s">
        <v>117</v>
      </c>
      <c r="CD212" s="114" t="s">
        <v>1544</v>
      </c>
      <c r="CE212" s="25" t="s">
        <v>117</v>
      </c>
      <c r="CF212" s="114" t="s">
        <v>1544</v>
      </c>
      <c r="CG212" s="25" t="s">
        <v>117</v>
      </c>
      <c r="CH212" s="114" t="s">
        <v>1544</v>
      </c>
      <c r="CI212" s="25"/>
      <c r="CJ212" s="114" t="s">
        <v>1544</v>
      </c>
      <c r="CK212" s="115" t="s">
        <v>117</v>
      </c>
      <c r="CL212" s="114" t="s">
        <v>1544</v>
      </c>
      <c r="CM212" s="115" t="s">
        <v>117</v>
      </c>
      <c r="CN212" s="114" t="s">
        <v>1544</v>
      </c>
      <c r="CO212" s="25" t="s">
        <v>117</v>
      </c>
      <c r="CP212" s="116">
        <v>400</v>
      </c>
      <c r="CQ212" s="110" t="s">
        <v>115</v>
      </c>
      <c r="CR212" s="117" t="s">
        <v>1544</v>
      </c>
      <c r="CS212" s="110" t="s">
        <v>117</v>
      </c>
      <c r="CT212" s="117" t="s">
        <v>1544</v>
      </c>
      <c r="CU212" s="110" t="s">
        <v>117</v>
      </c>
      <c r="CV212" s="117" t="s">
        <v>1544</v>
      </c>
      <c r="CW212" s="110" t="s">
        <v>117</v>
      </c>
      <c r="CX212" s="117" t="s">
        <v>1544</v>
      </c>
      <c r="CY212" s="25" t="s">
        <v>117</v>
      </c>
      <c r="CZ212" s="117" t="s">
        <v>1544</v>
      </c>
      <c r="DA212" s="25" t="s">
        <v>117</v>
      </c>
      <c r="DB212" s="118" t="s">
        <v>1761</v>
      </c>
      <c r="DC212" s="25" t="s">
        <v>116</v>
      </c>
      <c r="DD212" s="34">
        <f t="shared" si="48"/>
        <v>1306</v>
      </c>
      <c r="DE212" s="89" t="s">
        <v>1805</v>
      </c>
      <c r="DF212" s="89" t="str">
        <f t="shared" si="49"/>
        <v>Netherlands#Foundation#Netherlands STAK</v>
      </c>
      <c r="DG212" s="89" t="b">
        <f t="shared" si="50"/>
        <v>1</v>
      </c>
    </row>
    <row r="213" spans="1:111" ht="15" hidden="1" customHeight="1" x14ac:dyDescent="0.35">
      <c r="A213" s="184" t="s">
        <v>1806</v>
      </c>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c r="AA213" s="184"/>
      <c r="AB213" s="184"/>
      <c r="AC213" s="184"/>
      <c r="AD213" s="184"/>
      <c r="AE213" s="184"/>
      <c r="AF213" s="184"/>
      <c r="AG213" s="184"/>
      <c r="AH213" s="184"/>
      <c r="AI213" s="184"/>
      <c r="AJ213" s="184"/>
      <c r="AK213" s="184"/>
      <c r="AL213" s="184"/>
      <c r="AM213" s="184"/>
      <c r="AN213" s="184"/>
      <c r="AO213" s="184"/>
      <c r="AP213" s="184"/>
      <c r="AQ213" s="184"/>
      <c r="AR213" s="184"/>
      <c r="AS213" s="184"/>
      <c r="AT213" s="184"/>
      <c r="AU213" s="184"/>
      <c r="AV213" s="184"/>
      <c r="AW213" s="184"/>
      <c r="AX213" s="184"/>
      <c r="AY213" s="184"/>
      <c r="AZ213" s="184"/>
      <c r="BA213" s="184"/>
      <c r="BB213" s="184"/>
      <c r="BC213" s="184"/>
      <c r="BD213" s="184"/>
      <c r="BE213" s="184"/>
      <c r="BF213" s="184"/>
      <c r="BG213" s="184"/>
      <c r="BH213" s="184"/>
      <c r="BI213" s="184"/>
      <c r="BJ213" s="184"/>
      <c r="BK213" s="184"/>
      <c r="BL213" s="184"/>
      <c r="BM213" s="184"/>
      <c r="BN213" s="184"/>
      <c r="BO213" s="184"/>
      <c r="BP213" s="184"/>
      <c r="BQ213" s="184"/>
      <c r="BR213" s="184"/>
      <c r="BS213" s="184"/>
      <c r="BT213" s="184"/>
      <c r="BU213" s="184"/>
      <c r="BV213" s="184"/>
      <c r="BW213" s="184"/>
      <c r="BX213" s="184"/>
      <c r="BY213" s="184"/>
      <c r="BZ213" s="184"/>
      <c r="CA213" s="184"/>
      <c r="CB213" s="184"/>
      <c r="CC213" s="184"/>
      <c r="CD213" s="184"/>
      <c r="CE213" s="184"/>
      <c r="CF213" s="184"/>
      <c r="CG213" s="184"/>
      <c r="CH213" s="184"/>
      <c r="CI213" s="184"/>
      <c r="CJ213" s="184"/>
      <c r="CK213" s="184"/>
      <c r="CL213" s="184"/>
      <c r="CM213" s="184"/>
      <c r="CN213" s="184"/>
      <c r="CO213" s="184"/>
      <c r="CP213" s="184"/>
      <c r="CQ213" s="184"/>
      <c r="CR213" s="184"/>
      <c r="CS213" s="184"/>
      <c r="CT213" s="184"/>
      <c r="CU213" s="184"/>
      <c r="CV213" s="184"/>
      <c r="CW213" s="184"/>
      <c r="CX213" s="184"/>
      <c r="CY213" s="184"/>
      <c r="CZ213" s="184"/>
      <c r="DA213" s="184"/>
      <c r="DB213" s="184"/>
      <c r="DC213" s="184"/>
    </row>
    <row r="214" spans="1:111" ht="78.75" hidden="1" customHeight="1" x14ac:dyDescent="0.35">
      <c r="A214" s="18" t="s">
        <v>1807</v>
      </c>
      <c r="B214" s="18"/>
      <c r="C214" s="18" t="s">
        <v>88</v>
      </c>
      <c r="D214" s="19" t="s">
        <v>1808</v>
      </c>
      <c r="E214" s="18" t="s">
        <v>90</v>
      </c>
      <c r="F214" s="20" t="s">
        <v>1809</v>
      </c>
      <c r="G214" s="20" t="s">
        <v>1810</v>
      </c>
      <c r="H214" s="20" t="s">
        <v>1811</v>
      </c>
      <c r="I214" s="20" t="s">
        <v>1812</v>
      </c>
      <c r="J214" s="20" t="s">
        <v>1813</v>
      </c>
      <c r="K214" s="20" t="s">
        <v>96</v>
      </c>
      <c r="L214" s="20" t="s">
        <v>97</v>
      </c>
      <c r="M214" s="20" t="s">
        <v>98</v>
      </c>
      <c r="N214" s="20" t="s">
        <v>1814</v>
      </c>
      <c r="O214" s="20" t="s">
        <v>1815</v>
      </c>
      <c r="P214" s="20" t="s">
        <v>1816</v>
      </c>
      <c r="Q214" s="20" t="s">
        <v>1817</v>
      </c>
      <c r="R214" s="20" t="s">
        <v>1818</v>
      </c>
      <c r="S214" s="20" t="s">
        <v>1819</v>
      </c>
      <c r="T214" s="20" t="s">
        <v>1820</v>
      </c>
      <c r="U214" s="20" t="s">
        <v>1821</v>
      </c>
      <c r="V214" s="21" t="s">
        <v>107</v>
      </c>
      <c r="W214" s="21" t="s">
        <v>108</v>
      </c>
      <c r="X214" s="21" t="s">
        <v>109</v>
      </c>
      <c r="Y214" s="21" t="s">
        <v>1822</v>
      </c>
      <c r="Z214" s="21" t="s">
        <v>111</v>
      </c>
      <c r="AA214" s="21" t="s">
        <v>112</v>
      </c>
      <c r="AB214" s="21" t="s">
        <v>1823</v>
      </c>
      <c r="AC214" s="21" t="s">
        <v>1824</v>
      </c>
      <c r="AD214" s="22">
        <v>2000</v>
      </c>
      <c r="AE214" s="23" t="s">
        <v>116</v>
      </c>
      <c r="AF214" s="24"/>
      <c r="AG214" s="23" t="s">
        <v>117</v>
      </c>
      <c r="AH214" s="24"/>
      <c r="AI214" s="25" t="s">
        <v>117</v>
      </c>
      <c r="AJ214" s="24"/>
      <c r="AK214" s="25" t="s">
        <v>117</v>
      </c>
      <c r="AL214" s="22"/>
      <c r="AM214" s="23" t="s">
        <v>117</v>
      </c>
      <c r="AN214" s="24">
        <v>1000</v>
      </c>
      <c r="AO214" s="25" t="s">
        <v>116</v>
      </c>
      <c r="AP214" s="26">
        <v>1500</v>
      </c>
      <c r="AQ214" s="23" t="s">
        <v>116</v>
      </c>
      <c r="AR214" s="24"/>
      <c r="AS214" s="23" t="s">
        <v>117</v>
      </c>
      <c r="AT214" s="27"/>
      <c r="AU214" s="23" t="s">
        <v>117</v>
      </c>
      <c r="AV214" s="22">
        <v>1250</v>
      </c>
      <c r="AW214" s="23" t="s">
        <v>115</v>
      </c>
      <c r="AX214" s="22"/>
      <c r="AY214" s="23" t="s">
        <v>117</v>
      </c>
      <c r="AZ214" s="26">
        <v>550</v>
      </c>
      <c r="BA214" s="23" t="s">
        <v>115</v>
      </c>
      <c r="BB214" s="24"/>
      <c r="BC214" s="23" t="s">
        <v>117</v>
      </c>
      <c r="BD214" s="27">
        <v>1000</v>
      </c>
      <c r="BE214" s="23" t="s">
        <v>116</v>
      </c>
      <c r="BF214" s="27"/>
      <c r="BG214" s="23" t="s">
        <v>117</v>
      </c>
      <c r="BH214" s="28"/>
      <c r="BI214" s="25" t="s">
        <v>117</v>
      </c>
      <c r="BJ214" s="28"/>
      <c r="BK214" s="25" t="s">
        <v>117</v>
      </c>
      <c r="BL214" s="28"/>
      <c r="BM214" s="25" t="s">
        <v>117</v>
      </c>
      <c r="BN214" s="28"/>
      <c r="BO214" s="25" t="s">
        <v>117</v>
      </c>
      <c r="BP214" s="28"/>
      <c r="BQ214" s="25" t="s">
        <v>117</v>
      </c>
      <c r="BR214" s="28"/>
      <c r="BS214" s="25" t="s">
        <v>117</v>
      </c>
      <c r="BT214" s="28"/>
      <c r="BU214" s="25" t="s">
        <v>117</v>
      </c>
      <c r="BV214" s="28"/>
      <c r="BW214" s="25" t="s">
        <v>117</v>
      </c>
      <c r="BX214" s="28"/>
      <c r="BY214" s="25" t="s">
        <v>117</v>
      </c>
      <c r="BZ214" s="28"/>
      <c r="CA214" s="25" t="s">
        <v>117</v>
      </c>
      <c r="CB214" s="28"/>
      <c r="CC214" s="25" t="s">
        <v>117</v>
      </c>
      <c r="CD214" s="28"/>
      <c r="CE214" s="25" t="s">
        <v>117</v>
      </c>
      <c r="CF214" s="28"/>
      <c r="CG214" s="25" t="s">
        <v>117</v>
      </c>
      <c r="CH214" s="28"/>
      <c r="CI214" s="25"/>
      <c r="CJ214" s="28"/>
      <c r="CK214" s="29" t="s">
        <v>117</v>
      </c>
      <c r="CL214" s="28"/>
      <c r="CM214" s="29" t="s">
        <v>117</v>
      </c>
      <c r="CN214" s="28"/>
      <c r="CO214" s="25" t="s">
        <v>117</v>
      </c>
      <c r="CP214" s="30"/>
      <c r="CQ214" s="23" t="s">
        <v>117</v>
      </c>
      <c r="CR214" s="30"/>
      <c r="CS214" s="23" t="s">
        <v>117</v>
      </c>
      <c r="CT214" s="30"/>
      <c r="CU214" s="23" t="s">
        <v>117</v>
      </c>
      <c r="CV214" s="31"/>
      <c r="CW214" s="23" t="s">
        <v>117</v>
      </c>
      <c r="CX214" s="32"/>
      <c r="CY214" s="25" t="s">
        <v>117</v>
      </c>
      <c r="CZ214" s="32"/>
      <c r="DA214" s="25" t="s">
        <v>117</v>
      </c>
      <c r="DB214" s="33"/>
      <c r="DC214" s="25" t="s">
        <v>117</v>
      </c>
      <c r="DD214" s="34">
        <f>ROUND(0.075*SUM(AD214,AF214,AH214,AJ214,AL214,AN214,AP214,AR214,AT214,AV214,AX214,AZ214,BB214,BR214,BT214,BV214,BX214,BZ214,CB214,CD214,CF214,CJ214,CL214,CN214,CP214,CR214,CT214,CV214,CX214,CZ214),0)</f>
        <v>473</v>
      </c>
      <c r="DE214" t="s">
        <v>1825</v>
      </c>
      <c r="DF214" t="str">
        <f>A214&amp;"#"&amp;C214&amp;"#"&amp;D214</f>
        <v>Nevis#Company#Nevis IBC</v>
      </c>
      <c r="DG214" t="b">
        <f>DE214=DF214</f>
        <v>1</v>
      </c>
    </row>
    <row r="215" spans="1:111" ht="78.75" hidden="1" customHeight="1" x14ac:dyDescent="0.35">
      <c r="A215" s="184" t="s">
        <v>1826</v>
      </c>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c r="AA215" s="184"/>
      <c r="AB215" s="184"/>
      <c r="AC215" s="184"/>
      <c r="AD215" s="184"/>
      <c r="AE215" s="184"/>
      <c r="AF215" s="184"/>
      <c r="AG215" s="184"/>
      <c r="AH215" s="184"/>
      <c r="AI215" s="184"/>
      <c r="AJ215" s="184"/>
      <c r="AK215" s="184"/>
      <c r="AL215" s="184"/>
      <c r="AM215" s="184"/>
      <c r="AN215" s="184"/>
      <c r="AO215" s="184"/>
      <c r="AP215" s="184"/>
      <c r="AQ215" s="184"/>
      <c r="AR215" s="184"/>
      <c r="AS215" s="184"/>
      <c r="AT215" s="184"/>
      <c r="AU215" s="184"/>
      <c r="AV215" s="184"/>
      <c r="AW215" s="184"/>
      <c r="AX215" s="184"/>
      <c r="AY215" s="184"/>
      <c r="AZ215" s="184"/>
      <c r="BA215" s="184"/>
      <c r="BB215" s="184"/>
      <c r="BC215" s="184"/>
      <c r="BD215" s="184"/>
      <c r="BE215" s="184"/>
      <c r="BF215" s="184"/>
      <c r="BG215" s="184"/>
      <c r="BH215" s="184"/>
      <c r="BI215" s="184"/>
      <c r="BJ215" s="184"/>
      <c r="BK215" s="184"/>
      <c r="BL215" s="184"/>
      <c r="BM215" s="184"/>
      <c r="BN215" s="184"/>
      <c r="BO215" s="184"/>
      <c r="BP215" s="184"/>
      <c r="BQ215" s="184"/>
      <c r="BR215" s="184"/>
      <c r="BS215" s="184"/>
      <c r="BT215" s="184"/>
      <c r="BU215" s="184"/>
      <c r="BV215" s="184"/>
      <c r="BW215" s="184"/>
      <c r="BX215" s="184"/>
      <c r="BY215" s="184"/>
      <c r="BZ215" s="184"/>
      <c r="CA215" s="184"/>
      <c r="CB215" s="184"/>
      <c r="CC215" s="184"/>
      <c r="CD215" s="184"/>
      <c r="CE215" s="184"/>
      <c r="CF215" s="184"/>
      <c r="CG215" s="184"/>
      <c r="CH215" s="184"/>
      <c r="CI215" s="184"/>
      <c r="CJ215" s="184"/>
      <c r="CK215" s="184"/>
      <c r="CL215" s="184"/>
      <c r="CM215" s="184"/>
      <c r="CN215" s="184"/>
      <c r="CO215" s="184"/>
      <c r="CP215" s="184"/>
      <c r="CQ215" s="184"/>
      <c r="CR215" s="184"/>
      <c r="CS215" s="184"/>
      <c r="CT215" s="184"/>
      <c r="CU215" s="184"/>
      <c r="CV215" s="184"/>
      <c r="CW215" s="184"/>
      <c r="CX215" s="184"/>
      <c r="CY215" s="184"/>
      <c r="CZ215" s="184"/>
      <c r="DA215" s="184"/>
      <c r="DB215" s="184"/>
      <c r="DC215" s="184"/>
      <c r="DE215" t="s">
        <v>85</v>
      </c>
      <c r="DF215" t="str">
        <f>A200&amp;"#"&amp;C200&amp;"#"&amp;D200</f>
        <v>Mauritius#Fund - compartment#Mauritius VCC (Existing) — Sub-Fund Compartment</v>
      </c>
    </row>
    <row r="216" spans="1:111" ht="78.75" hidden="1" customHeight="1" x14ac:dyDescent="0.35">
      <c r="A216" s="72" t="s">
        <v>1827</v>
      </c>
      <c r="B216" s="18" t="s">
        <v>1828</v>
      </c>
      <c r="C216" s="72" t="s">
        <v>88</v>
      </c>
      <c r="D216" s="73" t="s">
        <v>1829</v>
      </c>
      <c r="E216" s="72" t="s">
        <v>90</v>
      </c>
      <c r="F216" s="20" t="s">
        <v>1830</v>
      </c>
      <c r="G216" s="20" t="s">
        <v>1831</v>
      </c>
      <c r="H216" s="20" t="s">
        <v>1832</v>
      </c>
      <c r="I216" s="20" t="s">
        <v>94</v>
      </c>
      <c r="J216" s="20" t="s">
        <v>1833</v>
      </c>
      <c r="K216" s="20" t="s">
        <v>96</v>
      </c>
      <c r="L216" s="20" t="s">
        <v>1834</v>
      </c>
      <c r="M216" s="20" t="s">
        <v>98</v>
      </c>
      <c r="N216" s="20" t="s">
        <v>1835</v>
      </c>
      <c r="O216" s="20" t="s">
        <v>100</v>
      </c>
      <c r="P216" s="123" t="s">
        <v>101</v>
      </c>
      <c r="Q216" s="123" t="s">
        <v>102</v>
      </c>
      <c r="R216" s="20" t="s">
        <v>103</v>
      </c>
      <c r="S216" s="20" t="s">
        <v>104</v>
      </c>
      <c r="T216" s="20" t="s">
        <v>105</v>
      </c>
      <c r="U216" s="20" t="s">
        <v>106</v>
      </c>
      <c r="V216" s="21" t="s">
        <v>1836</v>
      </c>
      <c r="W216" s="21" t="s">
        <v>108</v>
      </c>
      <c r="X216" s="21" t="s">
        <v>109</v>
      </c>
      <c r="Y216" s="21" t="s">
        <v>1837</v>
      </c>
      <c r="Z216" s="21" t="s">
        <v>256</v>
      </c>
      <c r="AA216" s="21" t="s">
        <v>112</v>
      </c>
      <c r="AB216" s="21" t="s">
        <v>1838</v>
      </c>
      <c r="AC216" s="21" t="s">
        <v>1839</v>
      </c>
      <c r="AD216" s="26">
        <v>4500</v>
      </c>
      <c r="AE216" s="23" t="s">
        <v>115</v>
      </c>
      <c r="AF216" s="74"/>
      <c r="AG216" s="23" t="s">
        <v>116</v>
      </c>
      <c r="AH216" s="26">
        <v>450</v>
      </c>
      <c r="AI216" s="25" t="s">
        <v>115</v>
      </c>
      <c r="AJ216" s="74"/>
      <c r="AK216" s="25" t="s">
        <v>117</v>
      </c>
      <c r="AL216" s="22">
        <v>0</v>
      </c>
      <c r="AM216" s="23" t="s">
        <v>115</v>
      </c>
      <c r="AN216" s="74"/>
      <c r="AO216" s="25" t="s">
        <v>117</v>
      </c>
      <c r="AP216" s="61">
        <v>52006000</v>
      </c>
      <c r="AQ216" s="23" t="s">
        <v>115</v>
      </c>
      <c r="AR216" s="124"/>
      <c r="AS216" s="23" t="s">
        <v>117</v>
      </c>
      <c r="AT216" s="58" t="s">
        <v>118</v>
      </c>
      <c r="AU216" s="23" t="s">
        <v>116</v>
      </c>
      <c r="AV216" s="61">
        <v>5000</v>
      </c>
      <c r="AW216" s="23" t="s">
        <v>115</v>
      </c>
      <c r="AX216" s="58" t="s">
        <v>118</v>
      </c>
      <c r="AY216" s="23" t="s">
        <v>115</v>
      </c>
      <c r="AZ216" s="26">
        <v>150</v>
      </c>
      <c r="BA216" s="23" t="s">
        <v>115</v>
      </c>
      <c r="BB216" s="74"/>
      <c r="BC216" s="23" t="s">
        <v>115</v>
      </c>
      <c r="BD216" s="58" t="s">
        <v>118</v>
      </c>
      <c r="BE216" s="23" t="s">
        <v>115</v>
      </c>
      <c r="BF216" s="58" t="s">
        <v>118</v>
      </c>
      <c r="BG216" s="23" t="s">
        <v>115</v>
      </c>
      <c r="BH216" s="75"/>
      <c r="BI216" s="25" t="s">
        <v>117</v>
      </c>
      <c r="BJ216" s="75"/>
      <c r="BK216" s="25" t="s">
        <v>117</v>
      </c>
      <c r="BL216" s="75"/>
      <c r="BM216" s="25" t="s">
        <v>117</v>
      </c>
      <c r="BN216" s="75"/>
      <c r="BO216" s="25" t="s">
        <v>117</v>
      </c>
      <c r="BP216" s="75"/>
      <c r="BQ216" s="25" t="s">
        <v>117</v>
      </c>
      <c r="BR216" s="75"/>
      <c r="BS216" s="25" t="s">
        <v>117</v>
      </c>
      <c r="BT216" s="75"/>
      <c r="BU216" s="25" t="s">
        <v>117</v>
      </c>
      <c r="BV216" s="75"/>
      <c r="BW216" s="25" t="s">
        <v>117</v>
      </c>
      <c r="BX216" s="75"/>
      <c r="BY216" s="25" t="s">
        <v>117</v>
      </c>
      <c r="BZ216" s="75"/>
      <c r="CA216" s="25" t="s">
        <v>117</v>
      </c>
      <c r="CB216" s="75"/>
      <c r="CC216" s="25" t="s">
        <v>117</v>
      </c>
      <c r="CD216" s="75"/>
      <c r="CE216" s="25" t="s">
        <v>117</v>
      </c>
      <c r="CF216" s="75"/>
      <c r="CG216" s="25" t="s">
        <v>117</v>
      </c>
      <c r="CH216" s="75"/>
      <c r="CI216" s="25"/>
      <c r="CJ216" s="75"/>
      <c r="CK216" s="62" t="s">
        <v>117</v>
      </c>
      <c r="CL216" s="75"/>
      <c r="CM216" s="62" t="s">
        <v>117</v>
      </c>
      <c r="CN216" s="75"/>
      <c r="CO216" s="25" t="s">
        <v>117</v>
      </c>
      <c r="CP216" s="30">
        <v>400</v>
      </c>
      <c r="CQ216" s="23" t="s">
        <v>115</v>
      </c>
      <c r="CR216" s="32"/>
      <c r="CS216" s="23" t="s">
        <v>117</v>
      </c>
      <c r="CT216" s="32"/>
      <c r="CU216" s="23" t="s">
        <v>117</v>
      </c>
      <c r="CV216" s="32"/>
      <c r="CW216" s="23" t="s">
        <v>117</v>
      </c>
      <c r="CX216" s="32"/>
      <c r="CY216" s="25" t="s">
        <v>117</v>
      </c>
      <c r="CZ216" s="32"/>
      <c r="DA216" s="25" t="s">
        <v>117</v>
      </c>
      <c r="DB216" s="33" t="s">
        <v>1840</v>
      </c>
      <c r="DC216" s="25" t="s">
        <v>116</v>
      </c>
      <c r="DD216" s="34">
        <f t="shared" ref="DD216:DD222" si="51">ROUND(0.075*SUM(AD216,AF216,AH216,AJ216,AL216,AN216,AP216,AR216,AT216,AV216,AX216,AZ216,BB216,BR216,BT216,BV216,BX216,BZ216,CB216,CD216,CF216,CJ216,CL216,CN216,CP216,CR216,CT216,CV216,CX216,CZ216),0)</f>
        <v>3901238</v>
      </c>
      <c r="DE216" t="s">
        <v>1841</v>
      </c>
      <c r="DF216" t="str">
        <f t="shared" ref="DF216:DF222" si="52">A216&amp;"#"&amp;C216&amp;"#"&amp;D216</f>
        <v>New Zealand#Company#New Zealand NZ Ltd as PTC</v>
      </c>
      <c r="DG216" t="b">
        <f t="shared" ref="DG216:DG222" si="53">DE216=DF216</f>
        <v>1</v>
      </c>
    </row>
    <row r="217" spans="1:111" ht="78.75" hidden="1" customHeight="1" x14ac:dyDescent="0.35">
      <c r="A217" s="18" t="s">
        <v>1827</v>
      </c>
      <c r="B217" s="18" t="s">
        <v>1828</v>
      </c>
      <c r="C217" s="18" t="s">
        <v>88</v>
      </c>
      <c r="D217" s="19" t="s">
        <v>1842</v>
      </c>
      <c r="E217" s="18" t="s">
        <v>90</v>
      </c>
      <c r="F217" s="20" t="s">
        <v>1843</v>
      </c>
      <c r="G217" s="20" t="s">
        <v>1844</v>
      </c>
      <c r="H217" s="20" t="s">
        <v>1832</v>
      </c>
      <c r="I217" s="20" t="s">
        <v>94</v>
      </c>
      <c r="J217" s="20" t="s">
        <v>1833</v>
      </c>
      <c r="K217" s="20" t="s">
        <v>96</v>
      </c>
      <c r="L217" s="20" t="s">
        <v>1834</v>
      </c>
      <c r="M217" s="20" t="s">
        <v>98</v>
      </c>
      <c r="N217" s="20" t="s">
        <v>1835</v>
      </c>
      <c r="O217" s="20" t="s">
        <v>100</v>
      </c>
      <c r="P217" s="123" t="s">
        <v>101</v>
      </c>
      <c r="Q217" s="123" t="s">
        <v>102</v>
      </c>
      <c r="R217" s="20" t="s">
        <v>103</v>
      </c>
      <c r="S217" s="20" t="s">
        <v>104</v>
      </c>
      <c r="T217" s="20" t="s">
        <v>105</v>
      </c>
      <c r="U217" s="20" t="s">
        <v>106</v>
      </c>
      <c r="V217" s="21" t="s">
        <v>243</v>
      </c>
      <c r="W217" s="21" t="s">
        <v>108</v>
      </c>
      <c r="X217" s="21" t="s">
        <v>109</v>
      </c>
      <c r="Y217" s="21" t="s">
        <v>1845</v>
      </c>
      <c r="Z217" s="21" t="s">
        <v>256</v>
      </c>
      <c r="AA217" s="21" t="s">
        <v>112</v>
      </c>
      <c r="AB217" s="21" t="s">
        <v>1846</v>
      </c>
      <c r="AC217" s="21" t="s">
        <v>1847</v>
      </c>
      <c r="AD217" s="26">
        <v>3500</v>
      </c>
      <c r="AE217" s="23" t="s">
        <v>115</v>
      </c>
      <c r="AF217" s="24"/>
      <c r="AG217" s="23" t="s">
        <v>116</v>
      </c>
      <c r="AH217" s="26">
        <v>450</v>
      </c>
      <c r="AI217" s="25" t="s">
        <v>115</v>
      </c>
      <c r="AJ217" s="24"/>
      <c r="AK217" s="25" t="s">
        <v>117</v>
      </c>
      <c r="AL217" s="22">
        <v>0</v>
      </c>
      <c r="AM217" s="23" t="s">
        <v>115</v>
      </c>
      <c r="AN217" s="24"/>
      <c r="AO217" s="25" t="s">
        <v>117</v>
      </c>
      <c r="AP217" s="61">
        <v>3500</v>
      </c>
      <c r="AQ217" s="23" t="s">
        <v>115</v>
      </c>
      <c r="AR217" s="125"/>
      <c r="AS217" s="23" t="s">
        <v>117</v>
      </c>
      <c r="AT217" s="27" t="s">
        <v>118</v>
      </c>
      <c r="AU217" s="23" t="s">
        <v>116</v>
      </c>
      <c r="AV217" s="27" t="s">
        <v>118</v>
      </c>
      <c r="AW217" s="23" t="s">
        <v>115</v>
      </c>
      <c r="AX217" s="27" t="s">
        <v>118</v>
      </c>
      <c r="AY217" s="23" t="s">
        <v>115</v>
      </c>
      <c r="AZ217" s="22">
        <v>45050</v>
      </c>
      <c r="BA217" s="23" t="s">
        <v>115</v>
      </c>
      <c r="BB217" s="24"/>
      <c r="BC217" s="23" t="s">
        <v>115</v>
      </c>
      <c r="BD217" s="27" t="s">
        <v>118</v>
      </c>
      <c r="BE217" s="23" t="s">
        <v>115</v>
      </c>
      <c r="BF217" s="27" t="s">
        <v>118</v>
      </c>
      <c r="BG217" s="23" t="s">
        <v>115</v>
      </c>
      <c r="BH217" s="28"/>
      <c r="BI217" s="25" t="s">
        <v>117</v>
      </c>
      <c r="BJ217" s="28"/>
      <c r="BK217" s="25" t="s">
        <v>117</v>
      </c>
      <c r="BL217" s="28"/>
      <c r="BM217" s="25" t="s">
        <v>117</v>
      </c>
      <c r="BN217" s="28"/>
      <c r="BO217" s="25" t="s">
        <v>117</v>
      </c>
      <c r="BP217" s="28"/>
      <c r="BQ217" s="25" t="s">
        <v>117</v>
      </c>
      <c r="BR217" s="28"/>
      <c r="BS217" s="25" t="s">
        <v>117</v>
      </c>
      <c r="BT217" s="28"/>
      <c r="BU217" s="25" t="s">
        <v>117</v>
      </c>
      <c r="BV217" s="28"/>
      <c r="BW217" s="25" t="s">
        <v>117</v>
      </c>
      <c r="BX217" s="28"/>
      <c r="BY217" s="25" t="s">
        <v>117</v>
      </c>
      <c r="BZ217" s="28"/>
      <c r="CA217" s="25" t="s">
        <v>117</v>
      </c>
      <c r="CB217" s="28"/>
      <c r="CC217" s="25" t="s">
        <v>117</v>
      </c>
      <c r="CD217" s="28"/>
      <c r="CE217" s="25" t="s">
        <v>117</v>
      </c>
      <c r="CF217" s="28"/>
      <c r="CG217" s="25" t="s">
        <v>117</v>
      </c>
      <c r="CH217" s="28"/>
      <c r="CI217" s="25"/>
      <c r="CJ217" s="28"/>
      <c r="CK217" s="29" t="s">
        <v>117</v>
      </c>
      <c r="CL217" s="28"/>
      <c r="CM217" s="29" t="s">
        <v>117</v>
      </c>
      <c r="CN217" s="28"/>
      <c r="CO217" s="25" t="s">
        <v>117</v>
      </c>
      <c r="CP217" s="30">
        <v>400</v>
      </c>
      <c r="CQ217" s="23" t="s">
        <v>115</v>
      </c>
      <c r="CR217" s="32"/>
      <c r="CS217" s="23" t="s">
        <v>117</v>
      </c>
      <c r="CT217" s="32"/>
      <c r="CU217" s="23" t="s">
        <v>117</v>
      </c>
      <c r="CV217" s="32"/>
      <c r="CW217" s="23" t="s">
        <v>117</v>
      </c>
      <c r="CX217" s="32"/>
      <c r="CY217" s="25" t="s">
        <v>117</v>
      </c>
      <c r="CZ217" s="32"/>
      <c r="DA217" s="25" t="s">
        <v>117</v>
      </c>
      <c r="DB217" s="33" t="s">
        <v>1840</v>
      </c>
      <c r="DC217" s="25" t="s">
        <v>116</v>
      </c>
      <c r="DD217" s="34">
        <f t="shared" si="51"/>
        <v>3968</v>
      </c>
      <c r="DE217" t="s">
        <v>1848</v>
      </c>
      <c r="DF217" t="str">
        <f t="shared" si="52"/>
        <v>New Zealand#Company#New Zealand NZ Ltd as GP</v>
      </c>
      <c r="DG217" t="b">
        <f t="shared" si="53"/>
        <v>1</v>
      </c>
    </row>
    <row r="218" spans="1:111" ht="78.75" hidden="1" customHeight="1" x14ac:dyDescent="0.35">
      <c r="A218" s="72" t="s">
        <v>1827</v>
      </c>
      <c r="B218" s="18" t="s">
        <v>1828</v>
      </c>
      <c r="C218" s="72" t="s">
        <v>122</v>
      </c>
      <c r="D218" s="73" t="s">
        <v>1849</v>
      </c>
      <c r="E218" s="72" t="s">
        <v>90</v>
      </c>
      <c r="F218" s="20" t="s">
        <v>1850</v>
      </c>
      <c r="G218" s="20" t="s">
        <v>1851</v>
      </c>
      <c r="H218" s="20" t="s">
        <v>1852</v>
      </c>
      <c r="I218" s="20" t="s">
        <v>1853</v>
      </c>
      <c r="J218" s="20" t="s">
        <v>1833</v>
      </c>
      <c r="K218" s="20" t="s">
        <v>96</v>
      </c>
      <c r="L218" s="20" t="s">
        <v>1854</v>
      </c>
      <c r="M218" s="20" t="s">
        <v>98</v>
      </c>
      <c r="N218" s="20" t="s">
        <v>128</v>
      </c>
      <c r="O218" s="20" t="s">
        <v>129</v>
      </c>
      <c r="P218" s="20" t="s">
        <v>130</v>
      </c>
      <c r="Q218" s="20" t="s">
        <v>131</v>
      </c>
      <c r="R218" s="20" t="s">
        <v>132</v>
      </c>
      <c r="S218" s="20" t="s">
        <v>133</v>
      </c>
      <c r="T218" s="20" t="s">
        <v>134</v>
      </c>
      <c r="U218" s="20" t="s">
        <v>135</v>
      </c>
      <c r="V218" s="21" t="s">
        <v>122</v>
      </c>
      <c r="W218" s="21" t="s">
        <v>108</v>
      </c>
      <c r="X218" s="21" t="s">
        <v>109</v>
      </c>
      <c r="Y218" s="21" t="s">
        <v>1855</v>
      </c>
      <c r="Z218" s="21" t="s">
        <v>1856</v>
      </c>
      <c r="AA218" s="21"/>
      <c r="AB218" s="21" t="s">
        <v>1857</v>
      </c>
      <c r="AC218" s="21" t="s">
        <v>1858</v>
      </c>
      <c r="AD218" s="61">
        <v>7000</v>
      </c>
      <c r="AE218" s="23" t="s">
        <v>115</v>
      </c>
      <c r="AF218" s="74"/>
      <c r="AG218" s="23" t="s">
        <v>116</v>
      </c>
      <c r="AH218" s="74"/>
      <c r="AI218" s="25" t="s">
        <v>117</v>
      </c>
      <c r="AJ218" s="74"/>
      <c r="AK218" s="25" t="s">
        <v>117</v>
      </c>
      <c r="AL218" s="22">
        <v>0</v>
      </c>
      <c r="AM218" s="23" t="s">
        <v>115</v>
      </c>
      <c r="AN218" s="74"/>
      <c r="AO218" s="25" t="s">
        <v>117</v>
      </c>
      <c r="AQ218" s="23" t="s">
        <v>117</v>
      </c>
      <c r="AR218" s="61">
        <v>6000</v>
      </c>
      <c r="AS218" s="23" t="s">
        <v>115</v>
      </c>
      <c r="AT218" s="58" t="s">
        <v>118</v>
      </c>
      <c r="AU218" s="23" t="s">
        <v>116</v>
      </c>
      <c r="AV218" s="58" t="s">
        <v>118</v>
      </c>
      <c r="AW218" s="23" t="s">
        <v>115</v>
      </c>
      <c r="AX218" s="58" t="s">
        <v>118</v>
      </c>
      <c r="AY218" s="23" t="s">
        <v>115</v>
      </c>
      <c r="AZ218" s="61">
        <v>45050</v>
      </c>
      <c r="BA218" s="23" t="s">
        <v>115</v>
      </c>
      <c r="BB218" s="74"/>
      <c r="BC218" s="23" t="s">
        <v>115</v>
      </c>
      <c r="BD218" s="61">
        <v>1500</v>
      </c>
      <c r="BE218" s="23" t="s">
        <v>115</v>
      </c>
      <c r="BF218" s="58" t="s">
        <v>118</v>
      </c>
      <c r="BG218" s="23" t="s">
        <v>115</v>
      </c>
      <c r="BH218" s="75"/>
      <c r="BI218" s="25" t="s">
        <v>117</v>
      </c>
      <c r="BJ218" s="75"/>
      <c r="BK218" s="25" t="s">
        <v>117</v>
      </c>
      <c r="BL218" s="75"/>
      <c r="BM218" s="25" t="s">
        <v>117</v>
      </c>
      <c r="BN218" s="75"/>
      <c r="BO218" s="25" t="s">
        <v>117</v>
      </c>
      <c r="BP218" s="75"/>
      <c r="BQ218" s="25" t="s">
        <v>117</v>
      </c>
      <c r="BR218" s="75"/>
      <c r="BS218" s="25" t="s">
        <v>117</v>
      </c>
      <c r="BT218" s="75"/>
      <c r="BU218" s="25" t="s">
        <v>117</v>
      </c>
      <c r="BV218" s="75"/>
      <c r="BW218" s="25" t="s">
        <v>117</v>
      </c>
      <c r="BX218" s="75"/>
      <c r="BY218" s="25" t="s">
        <v>117</v>
      </c>
      <c r="BZ218" s="75"/>
      <c r="CA218" s="25" t="s">
        <v>117</v>
      </c>
      <c r="CB218" s="75"/>
      <c r="CC218" s="25" t="s">
        <v>117</v>
      </c>
      <c r="CD218" s="75"/>
      <c r="CE218" s="25" t="s">
        <v>117</v>
      </c>
      <c r="CF218" s="75"/>
      <c r="CG218" s="25" t="s">
        <v>117</v>
      </c>
      <c r="CH218" s="75"/>
      <c r="CI218" s="25"/>
      <c r="CJ218" s="75"/>
      <c r="CK218" s="62" t="s">
        <v>117</v>
      </c>
      <c r="CL218" s="75"/>
      <c r="CM218" s="62" t="s">
        <v>117</v>
      </c>
      <c r="CN218" s="75"/>
      <c r="CO218" s="25" t="s">
        <v>117</v>
      </c>
      <c r="CP218" s="30">
        <v>400</v>
      </c>
      <c r="CQ218" s="23" t="s">
        <v>115</v>
      </c>
      <c r="CR218" s="32"/>
      <c r="CS218" s="23" t="s">
        <v>117</v>
      </c>
      <c r="CT218" s="32"/>
      <c r="CU218" s="23" t="s">
        <v>117</v>
      </c>
      <c r="CV218" s="32"/>
      <c r="CW218" s="23" t="s">
        <v>117</v>
      </c>
      <c r="CX218" s="32"/>
      <c r="CY218" s="25" t="s">
        <v>117</v>
      </c>
      <c r="CZ218" s="32"/>
      <c r="DA218" s="25" t="s">
        <v>117</v>
      </c>
      <c r="DB218" s="33" t="s">
        <v>1840</v>
      </c>
      <c r="DC218" s="25" t="s">
        <v>116</v>
      </c>
      <c r="DD218" s="34">
        <f t="shared" si="51"/>
        <v>4384</v>
      </c>
      <c r="DE218" t="s">
        <v>1859</v>
      </c>
      <c r="DF218" t="str">
        <f t="shared" si="52"/>
        <v>New Zealand#Trust#New Zealand Foreign Trust</v>
      </c>
      <c r="DG218" t="b">
        <f t="shared" si="53"/>
        <v>1</v>
      </c>
    </row>
    <row r="219" spans="1:111" ht="14.25" hidden="1" customHeight="1" x14ac:dyDescent="0.35">
      <c r="A219" s="126" t="s">
        <v>1827</v>
      </c>
      <c r="B219" s="126" t="s">
        <v>1828</v>
      </c>
      <c r="C219" s="126" t="s">
        <v>474</v>
      </c>
      <c r="D219" s="127" t="s">
        <v>1860</v>
      </c>
      <c r="E219" s="126" t="s">
        <v>90</v>
      </c>
      <c r="F219" s="128" t="s">
        <v>1861</v>
      </c>
      <c r="G219" s="128" t="s">
        <v>1862</v>
      </c>
      <c r="H219" s="128" t="s">
        <v>1863</v>
      </c>
      <c r="I219" s="128" t="s">
        <v>1864</v>
      </c>
      <c r="J219" s="128" t="s">
        <v>1833</v>
      </c>
      <c r="K219" s="128" t="s">
        <v>96</v>
      </c>
      <c r="L219" s="128" t="s">
        <v>1854</v>
      </c>
      <c r="M219" s="128" t="s">
        <v>98</v>
      </c>
      <c r="N219" s="128" t="s">
        <v>128</v>
      </c>
      <c r="O219" s="128" t="s">
        <v>1865</v>
      </c>
      <c r="P219" s="128" t="s">
        <v>104</v>
      </c>
      <c r="Q219" s="128" t="s">
        <v>1866</v>
      </c>
      <c r="R219" s="128"/>
      <c r="S219" s="128"/>
      <c r="T219" s="128"/>
      <c r="U219" s="128"/>
      <c r="V219" s="129" t="s">
        <v>1867</v>
      </c>
      <c r="W219" s="129" t="s">
        <v>108</v>
      </c>
      <c r="X219" s="129" t="s">
        <v>109</v>
      </c>
      <c r="Y219" s="129" t="s">
        <v>1868</v>
      </c>
      <c r="Z219" s="129" t="s">
        <v>1869</v>
      </c>
      <c r="AA219" s="129">
        <v>1</v>
      </c>
      <c r="AB219" s="129" t="s">
        <v>1870</v>
      </c>
      <c r="AC219" s="129" t="s">
        <v>1858</v>
      </c>
      <c r="AD219" s="26">
        <v>4000</v>
      </c>
      <c r="AE219" s="23" t="s">
        <v>115</v>
      </c>
      <c r="AF219" s="130"/>
      <c r="AG219" s="23" t="s">
        <v>116</v>
      </c>
      <c r="AH219" s="26">
        <v>450</v>
      </c>
      <c r="AI219" s="25" t="s">
        <v>115</v>
      </c>
      <c r="AJ219" s="130"/>
      <c r="AK219" s="25" t="s">
        <v>117</v>
      </c>
      <c r="AL219" s="22">
        <v>0</v>
      </c>
      <c r="AM219" s="23" t="s">
        <v>115</v>
      </c>
      <c r="AN219" s="130"/>
      <c r="AO219" s="25" t="s">
        <v>117</v>
      </c>
      <c r="AP219" s="131">
        <v>3500</v>
      </c>
      <c r="AQ219" s="23" t="s">
        <v>115</v>
      </c>
      <c r="AR219" s="130"/>
      <c r="AS219" s="23" t="s">
        <v>117</v>
      </c>
      <c r="AT219" s="132"/>
      <c r="AU219" s="23" t="s">
        <v>116</v>
      </c>
      <c r="AV219" s="132"/>
      <c r="AW219" s="23" t="s">
        <v>115</v>
      </c>
      <c r="AX219" s="132"/>
      <c r="AY219" s="23" t="s">
        <v>115</v>
      </c>
      <c r="AZ219" s="131">
        <v>20</v>
      </c>
      <c r="BA219" s="23" t="s">
        <v>115</v>
      </c>
      <c r="BB219" s="130"/>
      <c r="BC219" s="23" t="s">
        <v>115</v>
      </c>
      <c r="BD219" s="26">
        <v>1500</v>
      </c>
      <c r="BE219" s="23" t="s">
        <v>115</v>
      </c>
      <c r="BF219" s="26">
        <v>750</v>
      </c>
      <c r="BG219" s="23" t="s">
        <v>115</v>
      </c>
      <c r="BH219" s="130"/>
      <c r="BI219" s="25" t="s">
        <v>117</v>
      </c>
      <c r="BJ219" s="130"/>
      <c r="BK219" s="25" t="s">
        <v>117</v>
      </c>
      <c r="BL219" s="130"/>
      <c r="BM219" s="25" t="s">
        <v>117</v>
      </c>
      <c r="BN219" s="130"/>
      <c r="BO219" s="25" t="s">
        <v>117</v>
      </c>
      <c r="BP219" s="130"/>
      <c r="BQ219" s="25" t="s">
        <v>117</v>
      </c>
      <c r="BR219" s="130"/>
      <c r="BS219" s="25" t="s">
        <v>117</v>
      </c>
      <c r="BT219" s="130"/>
      <c r="BU219" s="25" t="s">
        <v>117</v>
      </c>
      <c r="BV219" s="130"/>
      <c r="BW219" s="25" t="s">
        <v>117</v>
      </c>
      <c r="BX219" s="130"/>
      <c r="BY219" s="25" t="s">
        <v>117</v>
      </c>
      <c r="BZ219" s="130"/>
      <c r="CA219" s="25" t="s">
        <v>117</v>
      </c>
      <c r="CB219" s="130"/>
      <c r="CC219" s="25" t="s">
        <v>117</v>
      </c>
      <c r="CD219" s="130"/>
      <c r="CE219" s="25" t="s">
        <v>117</v>
      </c>
      <c r="CF219" s="130"/>
      <c r="CG219" s="25" t="s">
        <v>117</v>
      </c>
      <c r="CH219" s="130"/>
      <c r="CI219" s="25"/>
      <c r="CJ219" s="130"/>
      <c r="CK219" s="133" t="s">
        <v>117</v>
      </c>
      <c r="CL219" s="130"/>
      <c r="CM219" s="133" t="s">
        <v>117</v>
      </c>
      <c r="CN219" s="130"/>
      <c r="CO219" s="25" t="s">
        <v>117</v>
      </c>
      <c r="CP219" s="131">
        <v>400</v>
      </c>
      <c r="CQ219" s="23" t="s">
        <v>115</v>
      </c>
      <c r="CR219" s="134"/>
      <c r="CS219" s="23" t="s">
        <v>117</v>
      </c>
      <c r="CT219" s="134"/>
      <c r="CU219" s="23" t="s">
        <v>117</v>
      </c>
      <c r="CV219" s="134"/>
      <c r="CW219" s="23" t="s">
        <v>117</v>
      </c>
      <c r="CX219" s="134"/>
      <c r="CY219" s="25" t="s">
        <v>117</v>
      </c>
      <c r="CZ219" s="134"/>
      <c r="DA219" s="25" t="s">
        <v>117</v>
      </c>
      <c r="DB219" s="135" t="s">
        <v>1840</v>
      </c>
      <c r="DC219" s="25" t="s">
        <v>116</v>
      </c>
      <c r="DD219" s="34">
        <f t="shared" si="51"/>
        <v>628</v>
      </c>
      <c r="DE219" t="s">
        <v>1871</v>
      </c>
      <c r="DF219" t="str">
        <f t="shared" si="52"/>
        <v>New Zealand#Limited Partnership#New Zealand Limited Partnership</v>
      </c>
      <c r="DG219" t="b">
        <f t="shared" si="53"/>
        <v>1</v>
      </c>
    </row>
    <row r="220" spans="1:111" ht="78.75" hidden="1" customHeight="1" x14ac:dyDescent="0.35">
      <c r="A220" s="136" t="s">
        <v>1827</v>
      </c>
      <c r="B220" s="136" t="s">
        <v>1828</v>
      </c>
      <c r="C220" s="136" t="s">
        <v>122</v>
      </c>
      <c r="D220" s="137" t="s">
        <v>1872</v>
      </c>
      <c r="E220" s="136" t="s">
        <v>90</v>
      </c>
      <c r="F220" s="123" t="s">
        <v>1873</v>
      </c>
      <c r="G220" s="123" t="s">
        <v>1874</v>
      </c>
      <c r="H220" s="123" t="s">
        <v>126</v>
      </c>
      <c r="I220" s="123" t="s">
        <v>127</v>
      </c>
      <c r="J220" s="123" t="s">
        <v>1833</v>
      </c>
      <c r="K220" s="123" t="s">
        <v>96</v>
      </c>
      <c r="L220" s="123" t="s">
        <v>97</v>
      </c>
      <c r="M220" s="123" t="s">
        <v>98</v>
      </c>
      <c r="N220" s="123" t="s">
        <v>128</v>
      </c>
      <c r="O220" s="123" t="s">
        <v>129</v>
      </c>
      <c r="P220" s="123" t="s">
        <v>130</v>
      </c>
      <c r="Q220" s="123" t="s">
        <v>131</v>
      </c>
      <c r="R220" s="123" t="s">
        <v>132</v>
      </c>
      <c r="S220" s="123" t="s">
        <v>133</v>
      </c>
      <c r="T220" s="123" t="s">
        <v>134</v>
      </c>
      <c r="U220" s="123" t="s">
        <v>135</v>
      </c>
      <c r="V220" s="138" t="s">
        <v>122</v>
      </c>
      <c r="W220" s="138" t="s">
        <v>108</v>
      </c>
      <c r="X220" s="138" t="s">
        <v>109</v>
      </c>
      <c r="Y220" s="138" t="s">
        <v>1875</v>
      </c>
      <c r="Z220" s="138" t="s">
        <v>111</v>
      </c>
      <c r="AA220" s="138"/>
      <c r="AB220" s="138" t="s">
        <v>1876</v>
      </c>
      <c r="AC220" s="138" t="s">
        <v>1877</v>
      </c>
      <c r="AD220" s="74"/>
      <c r="AE220" s="23" t="s">
        <v>117</v>
      </c>
      <c r="AF220" s="74"/>
      <c r="AG220" s="23" t="s">
        <v>117</v>
      </c>
      <c r="AH220" s="74"/>
      <c r="AI220" s="25" t="s">
        <v>117</v>
      </c>
      <c r="AJ220" s="74"/>
      <c r="AK220" s="25" t="s">
        <v>117</v>
      </c>
      <c r="AL220" s="24"/>
      <c r="AM220" s="23" t="s">
        <v>117</v>
      </c>
      <c r="AN220" s="74"/>
      <c r="AO220" s="25" t="s">
        <v>117</v>
      </c>
      <c r="AP220" s="124"/>
      <c r="AQ220" s="23" t="s">
        <v>117</v>
      </c>
      <c r="AR220" s="124"/>
      <c r="AS220" s="23" t="s">
        <v>117</v>
      </c>
      <c r="AT220" s="75"/>
      <c r="AU220" s="23" t="s">
        <v>117</v>
      </c>
      <c r="AV220" s="124"/>
      <c r="AW220" s="23" t="s">
        <v>117</v>
      </c>
      <c r="AX220" s="75"/>
      <c r="AY220" s="23" t="s">
        <v>117</v>
      </c>
      <c r="AZ220" s="74"/>
      <c r="BA220" s="23" t="s">
        <v>117</v>
      </c>
      <c r="BB220" s="74"/>
      <c r="BC220" s="23" t="s">
        <v>117</v>
      </c>
      <c r="BD220" s="75"/>
      <c r="BE220" s="23" t="s">
        <v>117</v>
      </c>
      <c r="BF220" s="75"/>
      <c r="BG220" s="23" t="s">
        <v>117</v>
      </c>
      <c r="BH220" s="75"/>
      <c r="BI220" s="25" t="s">
        <v>117</v>
      </c>
      <c r="BJ220" s="75"/>
      <c r="BK220" s="25" t="s">
        <v>117</v>
      </c>
      <c r="BL220" s="75"/>
      <c r="BM220" s="25" t="s">
        <v>117</v>
      </c>
      <c r="BN220" s="75"/>
      <c r="BO220" s="25" t="s">
        <v>117</v>
      </c>
      <c r="BP220" s="75"/>
      <c r="BQ220" s="25" t="s">
        <v>117</v>
      </c>
      <c r="BR220" s="75"/>
      <c r="BS220" s="25" t="s">
        <v>117</v>
      </c>
      <c r="BT220" s="75"/>
      <c r="BU220" s="25" t="s">
        <v>117</v>
      </c>
      <c r="BV220" s="75"/>
      <c r="BW220" s="25" t="s">
        <v>117</v>
      </c>
      <c r="BX220" s="75"/>
      <c r="BY220" s="25" t="s">
        <v>117</v>
      </c>
      <c r="BZ220" s="75"/>
      <c r="CA220" s="25" t="s">
        <v>117</v>
      </c>
      <c r="CB220" s="75"/>
      <c r="CC220" s="25" t="s">
        <v>117</v>
      </c>
      <c r="CD220" s="75"/>
      <c r="CE220" s="25" t="s">
        <v>117</v>
      </c>
      <c r="CF220" s="75"/>
      <c r="CG220" s="25" t="s">
        <v>117</v>
      </c>
      <c r="CH220" s="75"/>
      <c r="CI220" s="25"/>
      <c r="CJ220" s="75"/>
      <c r="CK220" s="62" t="s">
        <v>117</v>
      </c>
      <c r="CL220" s="75"/>
      <c r="CM220" s="62" t="s">
        <v>117</v>
      </c>
      <c r="CN220" s="75"/>
      <c r="CO220" s="25" t="s">
        <v>117</v>
      </c>
      <c r="CP220" s="139"/>
      <c r="CQ220" s="23" t="s">
        <v>117</v>
      </c>
      <c r="CR220" s="139"/>
      <c r="CS220" s="23" t="s">
        <v>117</v>
      </c>
      <c r="CT220" s="139"/>
      <c r="CU220" s="23" t="s">
        <v>117</v>
      </c>
      <c r="CV220" s="139"/>
      <c r="CW220" s="23" t="s">
        <v>117</v>
      </c>
      <c r="CX220" s="139"/>
      <c r="CY220" s="25" t="s">
        <v>117</v>
      </c>
      <c r="CZ220" s="139"/>
      <c r="DA220" s="25" t="s">
        <v>117</v>
      </c>
      <c r="DB220" s="82"/>
      <c r="DC220" s="25" t="s">
        <v>117</v>
      </c>
      <c r="DD220" s="34">
        <f t="shared" si="51"/>
        <v>0</v>
      </c>
      <c r="DE220" t="s">
        <v>1878</v>
      </c>
      <c r="DF220" t="str">
        <f t="shared" si="52"/>
        <v>New Zealand#Trust#New Zealand Short Form Simple Trust</v>
      </c>
      <c r="DG220" t="b">
        <f t="shared" si="53"/>
        <v>1</v>
      </c>
    </row>
    <row r="221" spans="1:111" ht="15" hidden="1" customHeight="1" x14ac:dyDescent="0.35">
      <c r="A221" s="140" t="s">
        <v>1827</v>
      </c>
      <c r="B221" s="136" t="s">
        <v>1828</v>
      </c>
      <c r="C221" s="140" t="s">
        <v>122</v>
      </c>
      <c r="D221" s="141" t="s">
        <v>1879</v>
      </c>
      <c r="E221" s="140" t="s">
        <v>90</v>
      </c>
      <c r="F221" s="123" t="s">
        <v>1880</v>
      </c>
      <c r="G221" s="123" t="s">
        <v>1881</v>
      </c>
      <c r="H221" s="123" t="s">
        <v>126</v>
      </c>
      <c r="I221" s="123" t="s">
        <v>127</v>
      </c>
      <c r="J221" s="123" t="s">
        <v>1833</v>
      </c>
      <c r="K221" s="123" t="s">
        <v>96</v>
      </c>
      <c r="L221" s="123" t="s">
        <v>97</v>
      </c>
      <c r="M221" s="123" t="s">
        <v>98</v>
      </c>
      <c r="N221" s="123" t="s">
        <v>128</v>
      </c>
      <c r="O221" s="123" t="s">
        <v>129</v>
      </c>
      <c r="P221" s="123" t="s">
        <v>130</v>
      </c>
      <c r="Q221" s="123" t="s">
        <v>131</v>
      </c>
      <c r="R221" s="123" t="s">
        <v>132</v>
      </c>
      <c r="S221" s="123" t="s">
        <v>133</v>
      </c>
      <c r="T221" s="123" t="s">
        <v>134</v>
      </c>
      <c r="U221" s="123" t="s">
        <v>135</v>
      </c>
      <c r="V221" s="138" t="s">
        <v>1882</v>
      </c>
      <c r="W221" s="138" t="s">
        <v>108</v>
      </c>
      <c r="X221" s="138" t="s">
        <v>109</v>
      </c>
      <c r="Y221" s="138" t="s">
        <v>1883</v>
      </c>
      <c r="Z221" s="138" t="s">
        <v>111</v>
      </c>
      <c r="AA221" s="138"/>
      <c r="AB221" s="138" t="s">
        <v>1884</v>
      </c>
      <c r="AC221" s="138" t="s">
        <v>1885</v>
      </c>
      <c r="AD221" s="24"/>
      <c r="AE221" s="23" t="s">
        <v>117</v>
      </c>
      <c r="AF221" s="24"/>
      <c r="AG221" s="23" t="s">
        <v>117</v>
      </c>
      <c r="AH221" s="24"/>
      <c r="AI221" s="25" t="s">
        <v>117</v>
      </c>
      <c r="AJ221" s="24"/>
      <c r="AK221" s="25" t="s">
        <v>117</v>
      </c>
      <c r="AL221" s="24"/>
      <c r="AM221" s="23" t="s">
        <v>117</v>
      </c>
      <c r="AN221" s="24"/>
      <c r="AO221" s="25" t="s">
        <v>117</v>
      </c>
      <c r="AP221" s="125"/>
      <c r="AQ221" s="23" t="s">
        <v>117</v>
      </c>
      <c r="AR221" s="125"/>
      <c r="AS221" s="23" t="s">
        <v>117</v>
      </c>
      <c r="AT221" s="28"/>
      <c r="AU221" s="23" t="s">
        <v>117</v>
      </c>
      <c r="AV221" s="28"/>
      <c r="AW221" s="23" t="s">
        <v>117</v>
      </c>
      <c r="AX221" s="28"/>
      <c r="AY221" s="23" t="s">
        <v>117</v>
      </c>
      <c r="AZ221" s="24"/>
      <c r="BA221" s="23" t="s">
        <v>117</v>
      </c>
      <c r="BB221" s="24"/>
      <c r="BC221" s="23" t="s">
        <v>117</v>
      </c>
      <c r="BD221" s="28"/>
      <c r="BE221" s="23" t="s">
        <v>117</v>
      </c>
      <c r="BF221" s="28"/>
      <c r="BG221" s="23" t="s">
        <v>117</v>
      </c>
      <c r="BH221" s="28"/>
      <c r="BI221" s="25" t="s">
        <v>117</v>
      </c>
      <c r="BJ221" s="28"/>
      <c r="BK221" s="25" t="s">
        <v>117</v>
      </c>
      <c r="BL221" s="28"/>
      <c r="BM221" s="25" t="s">
        <v>117</v>
      </c>
      <c r="BN221" s="28"/>
      <c r="BO221" s="25" t="s">
        <v>117</v>
      </c>
      <c r="BP221" s="28"/>
      <c r="BQ221" s="25" t="s">
        <v>117</v>
      </c>
      <c r="BR221" s="28"/>
      <c r="BS221" s="25" t="s">
        <v>117</v>
      </c>
      <c r="BT221" s="28"/>
      <c r="BU221" s="25" t="s">
        <v>117</v>
      </c>
      <c r="BV221" s="28"/>
      <c r="BW221" s="25" t="s">
        <v>117</v>
      </c>
      <c r="BX221" s="28"/>
      <c r="BY221" s="25" t="s">
        <v>117</v>
      </c>
      <c r="BZ221" s="28"/>
      <c r="CA221" s="25" t="s">
        <v>117</v>
      </c>
      <c r="CB221" s="28"/>
      <c r="CC221" s="25" t="s">
        <v>117</v>
      </c>
      <c r="CD221" s="28"/>
      <c r="CE221" s="25" t="s">
        <v>117</v>
      </c>
      <c r="CF221" s="28"/>
      <c r="CG221" s="25" t="s">
        <v>117</v>
      </c>
      <c r="CH221" s="28"/>
      <c r="CI221" s="25"/>
      <c r="CJ221" s="28"/>
      <c r="CK221" s="29" t="s">
        <v>117</v>
      </c>
      <c r="CL221" s="28"/>
      <c r="CM221" s="29" t="s">
        <v>117</v>
      </c>
      <c r="CN221" s="28"/>
      <c r="CO221" s="25" t="s">
        <v>117</v>
      </c>
      <c r="CP221" s="139"/>
      <c r="CQ221" s="23" t="s">
        <v>117</v>
      </c>
      <c r="CR221" s="139"/>
      <c r="CS221" s="23" t="s">
        <v>117</v>
      </c>
      <c r="CT221" s="139"/>
      <c r="CU221" s="23" t="s">
        <v>117</v>
      </c>
      <c r="CV221" s="139"/>
      <c r="CW221" s="23" t="s">
        <v>117</v>
      </c>
      <c r="CX221" s="139"/>
      <c r="CY221" s="25" t="s">
        <v>117</v>
      </c>
      <c r="CZ221" s="139"/>
      <c r="DA221" s="25" t="s">
        <v>117</v>
      </c>
      <c r="DB221" s="82"/>
      <c r="DC221" s="25" t="s">
        <v>117</v>
      </c>
      <c r="DD221" s="34">
        <f t="shared" si="51"/>
        <v>0</v>
      </c>
      <c r="DE221" t="s">
        <v>1886</v>
      </c>
      <c r="DF221" t="str">
        <f t="shared" si="52"/>
        <v>New Zealand#Trust#New Zealand Escrow Agent</v>
      </c>
      <c r="DG221" t="b">
        <f t="shared" si="53"/>
        <v>1</v>
      </c>
    </row>
    <row r="222" spans="1:111" ht="78.75" hidden="1" customHeight="1" x14ac:dyDescent="0.35">
      <c r="A222" s="136" t="s">
        <v>1827</v>
      </c>
      <c r="B222" s="136" t="s">
        <v>1828</v>
      </c>
      <c r="C222" s="136" t="s">
        <v>122</v>
      </c>
      <c r="D222" s="137" t="s">
        <v>1887</v>
      </c>
      <c r="E222" s="136" t="s">
        <v>90</v>
      </c>
      <c r="F222" s="123" t="s">
        <v>124</v>
      </c>
      <c r="G222" s="123" t="s">
        <v>1888</v>
      </c>
      <c r="H222" s="123" t="s">
        <v>126</v>
      </c>
      <c r="I222" s="123" t="s">
        <v>127</v>
      </c>
      <c r="J222" s="123" t="s">
        <v>1833</v>
      </c>
      <c r="K222" s="123" t="s">
        <v>96</v>
      </c>
      <c r="L222" s="123" t="s">
        <v>97</v>
      </c>
      <c r="M222" s="123" t="s">
        <v>98</v>
      </c>
      <c r="N222" s="123" t="s">
        <v>128</v>
      </c>
      <c r="O222" s="123" t="s">
        <v>129</v>
      </c>
      <c r="P222" s="123" t="s">
        <v>130</v>
      </c>
      <c r="Q222" s="123" t="s">
        <v>131</v>
      </c>
      <c r="R222" s="123" t="s">
        <v>132</v>
      </c>
      <c r="S222" s="123" t="s">
        <v>133</v>
      </c>
      <c r="T222" s="123" t="s">
        <v>134</v>
      </c>
      <c r="U222" s="123" t="s">
        <v>135</v>
      </c>
      <c r="V222" s="138" t="s">
        <v>122</v>
      </c>
      <c r="W222" s="138" t="s">
        <v>108</v>
      </c>
      <c r="X222" s="138" t="s">
        <v>109</v>
      </c>
      <c r="Y222" s="138" t="s">
        <v>1889</v>
      </c>
      <c r="Z222" s="138" t="s">
        <v>111</v>
      </c>
      <c r="AA222" s="138"/>
      <c r="AB222" s="138" t="s">
        <v>1890</v>
      </c>
      <c r="AC222" s="138" t="s">
        <v>1891</v>
      </c>
      <c r="AD222" s="26">
        <v>6000</v>
      </c>
      <c r="AE222" s="23" t="s">
        <v>116</v>
      </c>
      <c r="AF222" s="74"/>
      <c r="AG222" s="23" t="s">
        <v>117</v>
      </c>
      <c r="AH222" s="26">
        <v>450</v>
      </c>
      <c r="AI222" s="25" t="s">
        <v>116</v>
      </c>
      <c r="AJ222" s="74"/>
      <c r="AK222" s="25" t="s">
        <v>117</v>
      </c>
      <c r="AL222" s="24"/>
      <c r="AM222" s="23" t="s">
        <v>117</v>
      </c>
      <c r="AN222" s="74"/>
      <c r="AO222" s="25" t="s">
        <v>117</v>
      </c>
      <c r="AQ222" s="23" t="s">
        <v>117</v>
      </c>
      <c r="AR222" s="26">
        <v>6000</v>
      </c>
      <c r="AS222" s="23" t="s">
        <v>116</v>
      </c>
      <c r="AT222" s="75"/>
      <c r="AU222" s="23" t="s">
        <v>117</v>
      </c>
      <c r="AV222" s="75"/>
      <c r="AW222" s="23" t="s">
        <v>117</v>
      </c>
      <c r="AX222" s="75"/>
      <c r="AY222" s="23" t="s">
        <v>117</v>
      </c>
      <c r="AZ222" s="74"/>
      <c r="BA222" s="23" t="s">
        <v>117</v>
      </c>
      <c r="BB222" s="74"/>
      <c r="BC222" s="23" t="s">
        <v>117</v>
      </c>
      <c r="BD222" s="26">
        <v>1500</v>
      </c>
      <c r="BE222" s="23" t="s">
        <v>116</v>
      </c>
      <c r="BF222" s="75"/>
      <c r="BG222" s="23" t="s">
        <v>117</v>
      </c>
      <c r="BH222" s="75"/>
      <c r="BI222" s="25" t="s">
        <v>117</v>
      </c>
      <c r="BJ222" s="75"/>
      <c r="BK222" s="25" t="s">
        <v>117</v>
      </c>
      <c r="BL222" s="75"/>
      <c r="BM222" s="25" t="s">
        <v>117</v>
      </c>
      <c r="BN222" s="75"/>
      <c r="BO222" s="25" t="s">
        <v>117</v>
      </c>
      <c r="BP222" s="75"/>
      <c r="BQ222" s="25" t="s">
        <v>117</v>
      </c>
      <c r="BR222" s="75"/>
      <c r="BS222" s="25" t="s">
        <v>117</v>
      </c>
      <c r="BT222" s="75"/>
      <c r="BU222" s="25" t="s">
        <v>117</v>
      </c>
      <c r="BV222" s="75"/>
      <c r="BW222" s="25" t="s">
        <v>117</v>
      </c>
      <c r="BX222" s="75"/>
      <c r="BY222" s="25" t="s">
        <v>117</v>
      </c>
      <c r="BZ222" s="75"/>
      <c r="CA222" s="25" t="s">
        <v>117</v>
      </c>
      <c r="CB222" s="75"/>
      <c r="CC222" s="25" t="s">
        <v>117</v>
      </c>
      <c r="CD222" s="75"/>
      <c r="CE222" s="25" t="s">
        <v>117</v>
      </c>
      <c r="CF222" s="75"/>
      <c r="CG222" s="25" t="s">
        <v>117</v>
      </c>
      <c r="CH222" s="75"/>
      <c r="CI222" s="25"/>
      <c r="CJ222" s="75"/>
      <c r="CK222" s="62" t="s">
        <v>117</v>
      </c>
      <c r="CL222" s="75"/>
      <c r="CM222" s="62" t="s">
        <v>117</v>
      </c>
      <c r="CN222" s="75"/>
      <c r="CO222" s="25" t="s">
        <v>117</v>
      </c>
      <c r="CP222" s="139"/>
      <c r="CQ222" s="23" t="s">
        <v>117</v>
      </c>
      <c r="CR222" s="139"/>
      <c r="CS222" s="23" t="s">
        <v>117</v>
      </c>
      <c r="CT222" s="139"/>
      <c r="CU222" s="23" t="s">
        <v>117</v>
      </c>
      <c r="CV222" s="139"/>
      <c r="CW222" s="23" t="s">
        <v>117</v>
      </c>
      <c r="CX222" s="139"/>
      <c r="CY222" s="25" t="s">
        <v>117</v>
      </c>
      <c r="CZ222" s="139"/>
      <c r="DA222" s="25" t="s">
        <v>117</v>
      </c>
      <c r="DB222" s="82"/>
      <c r="DC222" s="25" t="s">
        <v>117</v>
      </c>
      <c r="DD222" s="34">
        <f t="shared" si="51"/>
        <v>934</v>
      </c>
      <c r="DE222" t="s">
        <v>1892</v>
      </c>
      <c r="DF222" t="str">
        <f t="shared" si="52"/>
        <v>New Zealand#Trust#New Zealand Trust</v>
      </c>
      <c r="DG222" t="b">
        <f t="shared" si="53"/>
        <v>1</v>
      </c>
    </row>
    <row r="223" spans="1:111" ht="78.75" hidden="1" customHeight="1" x14ac:dyDescent="0.35">
      <c r="A223" s="185" t="s">
        <v>1893</v>
      </c>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c r="AA223" s="185"/>
      <c r="AB223" s="185"/>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c r="AX223" s="185"/>
      <c r="AY223" s="185"/>
      <c r="AZ223" s="185"/>
      <c r="BA223" s="185"/>
      <c r="BB223" s="185"/>
      <c r="BC223" s="185"/>
      <c r="BD223" s="185"/>
      <c r="BE223" s="185"/>
      <c r="BF223" s="185"/>
      <c r="BG223" s="185"/>
      <c r="BH223" s="185"/>
      <c r="BI223" s="185"/>
      <c r="BJ223" s="185"/>
      <c r="BK223" s="185"/>
      <c r="BL223" s="185"/>
      <c r="BM223" s="185"/>
      <c r="BN223" s="185"/>
      <c r="BO223" s="185"/>
      <c r="BP223" s="185"/>
      <c r="BQ223" s="185"/>
      <c r="BR223" s="185"/>
      <c r="BS223" s="185"/>
      <c r="BT223" s="185"/>
      <c r="BU223" s="185"/>
      <c r="BV223" s="185"/>
      <c r="BW223" s="185"/>
      <c r="BX223" s="185"/>
      <c r="BY223" s="185"/>
      <c r="BZ223" s="185"/>
      <c r="CA223" s="185"/>
      <c r="CB223" s="185"/>
      <c r="CC223" s="185"/>
      <c r="CD223" s="185"/>
      <c r="CE223" s="185"/>
      <c r="CF223" s="185"/>
      <c r="CG223" s="185"/>
      <c r="CH223" s="185"/>
      <c r="CI223" s="185"/>
      <c r="CJ223" s="185"/>
      <c r="CK223" s="185"/>
      <c r="CL223" s="185"/>
      <c r="CM223" s="185"/>
      <c r="CN223" s="185"/>
      <c r="CO223" s="185"/>
      <c r="CP223" s="185"/>
      <c r="CQ223" s="185"/>
      <c r="CR223" s="185"/>
      <c r="CS223" s="185"/>
      <c r="CT223" s="185"/>
      <c r="CU223" s="185"/>
      <c r="CV223" s="185"/>
      <c r="CW223" s="185"/>
      <c r="CX223" s="185"/>
      <c r="CY223" s="185"/>
      <c r="CZ223" s="185"/>
      <c r="DA223" s="185"/>
      <c r="DB223" s="185"/>
      <c r="DC223" s="185"/>
      <c r="DE223" t="s">
        <v>85</v>
      </c>
      <c r="DF223" t="str">
        <f>A208&amp;"#"&amp;C208&amp;"#"&amp;D208</f>
        <v>Netherlands#Company#Netherlands NV</v>
      </c>
    </row>
    <row r="224" spans="1:111" ht="78.75" hidden="1" customHeight="1" x14ac:dyDescent="0.35">
      <c r="A224" s="18" t="s">
        <v>1894</v>
      </c>
      <c r="B224" s="18" t="s">
        <v>874</v>
      </c>
      <c r="C224" s="18" t="s">
        <v>88</v>
      </c>
      <c r="D224" s="19" t="s">
        <v>1895</v>
      </c>
      <c r="E224" s="18" t="s">
        <v>90</v>
      </c>
      <c r="F224" s="20" t="s">
        <v>596</v>
      </c>
      <c r="G224" s="20" t="s">
        <v>1896</v>
      </c>
      <c r="H224" s="20" t="s">
        <v>93</v>
      </c>
      <c r="I224" s="20" t="s">
        <v>94</v>
      </c>
      <c r="J224" s="20" t="s">
        <v>1897</v>
      </c>
      <c r="K224" s="20" t="s">
        <v>96</v>
      </c>
      <c r="L224" s="20" t="s">
        <v>97</v>
      </c>
      <c r="M224" s="20" t="s">
        <v>98</v>
      </c>
      <c r="N224" s="20" t="s">
        <v>1898</v>
      </c>
      <c r="O224" s="20" t="s">
        <v>100</v>
      </c>
      <c r="P224" s="20" t="s">
        <v>101</v>
      </c>
      <c r="Q224" s="20" t="s">
        <v>102</v>
      </c>
      <c r="R224" s="20" t="s">
        <v>103</v>
      </c>
      <c r="S224" s="20" t="s">
        <v>104</v>
      </c>
      <c r="T224" s="20" t="s">
        <v>105</v>
      </c>
      <c r="U224" s="20" t="s">
        <v>106</v>
      </c>
      <c r="V224" s="21" t="s">
        <v>243</v>
      </c>
      <c r="W224" s="21" t="s">
        <v>203</v>
      </c>
      <c r="X224" s="21" t="s">
        <v>109</v>
      </c>
      <c r="Y224" s="21" t="s">
        <v>1899</v>
      </c>
      <c r="Z224" s="21" t="s">
        <v>256</v>
      </c>
      <c r="AA224" s="21" t="s">
        <v>1900</v>
      </c>
      <c r="AB224" s="21" t="s">
        <v>1901</v>
      </c>
      <c r="AC224" s="21" t="s">
        <v>1902</v>
      </c>
      <c r="AD224" s="22">
        <v>1650</v>
      </c>
      <c r="AE224" s="23" t="s">
        <v>115</v>
      </c>
      <c r="AF224" s="24"/>
      <c r="AG224" s="23" t="s">
        <v>116</v>
      </c>
      <c r="AH224" s="24"/>
      <c r="AI224" s="25" t="s">
        <v>117</v>
      </c>
      <c r="AJ224" s="24"/>
      <c r="AK224" s="25" t="s">
        <v>117</v>
      </c>
      <c r="AL224" s="22">
        <v>0</v>
      </c>
      <c r="AM224" s="23" t="s">
        <v>115</v>
      </c>
      <c r="AN224" s="24"/>
      <c r="AO224" s="25" t="s">
        <v>117</v>
      </c>
      <c r="AP224" s="22">
        <v>950</v>
      </c>
      <c r="AQ224" s="23" t="s">
        <v>115</v>
      </c>
      <c r="AR224" s="24"/>
      <c r="AS224" s="23" t="s">
        <v>117</v>
      </c>
      <c r="AT224" s="27" t="s">
        <v>118</v>
      </c>
      <c r="AU224" s="23" t="s">
        <v>116</v>
      </c>
      <c r="AV224" s="22">
        <v>1375</v>
      </c>
      <c r="AW224" s="23" t="s">
        <v>115</v>
      </c>
      <c r="AX224" s="27" t="s">
        <v>118</v>
      </c>
      <c r="AY224" s="23" t="s">
        <v>115</v>
      </c>
      <c r="AZ224" s="22">
        <v>300</v>
      </c>
      <c r="BA224" s="23" t="s">
        <v>115</v>
      </c>
      <c r="BB224" s="24"/>
      <c r="BC224" s="23" t="s">
        <v>115</v>
      </c>
      <c r="BD224" s="27" t="s">
        <v>118</v>
      </c>
      <c r="BE224" s="23" t="s">
        <v>115</v>
      </c>
      <c r="BF224" s="27" t="s">
        <v>118</v>
      </c>
      <c r="BG224" s="23" t="s">
        <v>115</v>
      </c>
      <c r="BH224" s="28"/>
      <c r="BI224" s="25" t="s">
        <v>117</v>
      </c>
      <c r="BJ224" s="28"/>
      <c r="BK224" s="25" t="s">
        <v>117</v>
      </c>
      <c r="BL224" s="28"/>
      <c r="BM224" s="25" t="s">
        <v>117</v>
      </c>
      <c r="BN224" s="28"/>
      <c r="BO224" s="25" t="s">
        <v>117</v>
      </c>
      <c r="BP224" s="28"/>
      <c r="BQ224" s="25" t="s">
        <v>117</v>
      </c>
      <c r="BR224" s="28"/>
      <c r="BS224" s="25" t="s">
        <v>117</v>
      </c>
      <c r="BT224" s="28"/>
      <c r="BU224" s="25" t="s">
        <v>117</v>
      </c>
      <c r="BV224" s="28"/>
      <c r="BW224" s="25" t="s">
        <v>117</v>
      </c>
      <c r="BX224" s="28"/>
      <c r="BY224" s="25" t="s">
        <v>117</v>
      </c>
      <c r="BZ224" s="28"/>
      <c r="CA224" s="25" t="s">
        <v>117</v>
      </c>
      <c r="CB224" s="28"/>
      <c r="CC224" s="25" t="s">
        <v>117</v>
      </c>
      <c r="CD224" s="28"/>
      <c r="CE224" s="25" t="s">
        <v>117</v>
      </c>
      <c r="CF224" s="28"/>
      <c r="CG224" s="25" t="s">
        <v>117</v>
      </c>
      <c r="CH224" s="28"/>
      <c r="CI224" s="25"/>
      <c r="CJ224" s="28"/>
      <c r="CK224" s="29" t="s">
        <v>117</v>
      </c>
      <c r="CL224" s="28"/>
      <c r="CM224" s="29" t="s">
        <v>117</v>
      </c>
      <c r="CN224" s="28"/>
      <c r="CO224" s="25" t="s">
        <v>117</v>
      </c>
      <c r="CP224" s="30">
        <v>400</v>
      </c>
      <c r="CQ224" s="23" t="s">
        <v>115</v>
      </c>
      <c r="CR224" s="32"/>
      <c r="CS224" s="23" t="s">
        <v>117</v>
      </c>
      <c r="CT224" s="32"/>
      <c r="CU224" s="23" t="s">
        <v>117</v>
      </c>
      <c r="CV224" s="32"/>
      <c r="CW224" s="23" t="s">
        <v>117</v>
      </c>
      <c r="CX224" s="32"/>
      <c r="CY224" s="25" t="s">
        <v>117</v>
      </c>
      <c r="CZ224" s="32"/>
      <c r="DA224" s="25" t="s">
        <v>117</v>
      </c>
      <c r="DB224" s="33" t="s">
        <v>120</v>
      </c>
      <c r="DC224" s="25" t="s">
        <v>116</v>
      </c>
      <c r="DD224" s="34">
        <f>ROUND(0.075*SUM(AD224,AF224,AH224,AJ224,AL224,AN224,AP224,AR224,AT224,AV224,AX224,AZ224,BB224,BR224,BT224,BV224,BX224,BZ224,CB224,CD224,CF224,CJ224,CL224,CN224,CP224,CR224,CT224,CV224,CX224,CZ224),0)</f>
        <v>351</v>
      </c>
      <c r="DE224" t="s">
        <v>1903</v>
      </c>
      <c r="DF224" t="str">
        <f>A224&amp;"#"&amp;C224&amp;"#"&amp;D224</f>
        <v>Panama#Company#Panama SA</v>
      </c>
      <c r="DG224" t="b">
        <f>DE224=DF224</f>
        <v>1</v>
      </c>
    </row>
    <row r="225" spans="1:111" ht="78.75" hidden="1" customHeight="1" x14ac:dyDescent="0.35">
      <c r="A225" s="18" t="s">
        <v>1894</v>
      </c>
      <c r="B225" s="18" t="s">
        <v>874</v>
      </c>
      <c r="C225" s="18" t="s">
        <v>746</v>
      </c>
      <c r="D225" s="19" t="s">
        <v>1904</v>
      </c>
      <c r="E225" s="18" t="s">
        <v>90</v>
      </c>
      <c r="F225" s="20" t="s">
        <v>1905</v>
      </c>
      <c r="G225" s="20" t="s">
        <v>1906</v>
      </c>
      <c r="H225" s="20" t="s">
        <v>126</v>
      </c>
      <c r="I225" s="20" t="s">
        <v>1907</v>
      </c>
      <c r="J225" s="20" t="s">
        <v>1897</v>
      </c>
      <c r="K225" s="20" t="s">
        <v>96</v>
      </c>
      <c r="L225" s="20" t="s">
        <v>97</v>
      </c>
      <c r="M225" s="20" t="s">
        <v>98</v>
      </c>
      <c r="N225" s="20" t="s">
        <v>128</v>
      </c>
      <c r="O225" s="20" t="s">
        <v>129</v>
      </c>
      <c r="P225" s="20" t="s">
        <v>130</v>
      </c>
      <c r="Q225" s="20" t="s">
        <v>1908</v>
      </c>
      <c r="R225" s="20" t="s">
        <v>1909</v>
      </c>
      <c r="S225" s="20" t="s">
        <v>1910</v>
      </c>
      <c r="T225" s="20" t="s">
        <v>1911</v>
      </c>
      <c r="U225" s="20" t="s">
        <v>1912</v>
      </c>
      <c r="V225" s="21" t="s">
        <v>746</v>
      </c>
      <c r="W225" s="21" t="s">
        <v>203</v>
      </c>
      <c r="X225" s="21" t="s">
        <v>789</v>
      </c>
      <c r="Y225" s="21" t="s">
        <v>1913</v>
      </c>
      <c r="Z225" s="21" t="s">
        <v>111</v>
      </c>
      <c r="AA225" s="21" t="s">
        <v>1914</v>
      </c>
      <c r="AB225" s="21" t="s">
        <v>1915</v>
      </c>
      <c r="AC225" s="21" t="s">
        <v>1916</v>
      </c>
      <c r="AD225" s="26">
        <v>1975</v>
      </c>
      <c r="AE225" s="23" t="s">
        <v>115</v>
      </c>
      <c r="AF225" s="24"/>
      <c r="AG225" s="23" t="s">
        <v>116</v>
      </c>
      <c r="AH225" s="24"/>
      <c r="AI225" s="25" t="s">
        <v>117</v>
      </c>
      <c r="AJ225" s="24"/>
      <c r="AK225" s="25" t="s">
        <v>117</v>
      </c>
      <c r="AL225" s="22">
        <v>0</v>
      </c>
      <c r="AM225" s="23" t="s">
        <v>115</v>
      </c>
      <c r="AN225" s="24"/>
      <c r="AO225" s="25" t="s">
        <v>117</v>
      </c>
      <c r="AP225" s="26">
        <v>1100</v>
      </c>
      <c r="AQ225" s="23" t="s">
        <v>115</v>
      </c>
      <c r="AR225" s="24"/>
      <c r="AS225" s="23" t="s">
        <v>117</v>
      </c>
      <c r="AT225" s="27" t="s">
        <v>118</v>
      </c>
      <c r="AU225" s="23" t="s">
        <v>116</v>
      </c>
      <c r="AV225" s="26">
        <v>1350</v>
      </c>
      <c r="AW225" s="23" t="s">
        <v>115</v>
      </c>
      <c r="AX225" s="27" t="s">
        <v>118</v>
      </c>
      <c r="AY225" s="23" t="s">
        <v>115</v>
      </c>
      <c r="AZ225" s="26">
        <v>400</v>
      </c>
      <c r="BA225" s="23" t="s">
        <v>115</v>
      </c>
      <c r="BB225" s="24"/>
      <c r="BC225" s="23" t="s">
        <v>115</v>
      </c>
      <c r="BD225" s="27" t="s">
        <v>118</v>
      </c>
      <c r="BE225" s="23" t="s">
        <v>115</v>
      </c>
      <c r="BF225" s="27" t="s">
        <v>118</v>
      </c>
      <c r="BG225" s="23" t="s">
        <v>115</v>
      </c>
      <c r="BH225" s="28"/>
      <c r="BI225" s="25" t="s">
        <v>117</v>
      </c>
      <c r="BJ225" s="28"/>
      <c r="BK225" s="25" t="s">
        <v>117</v>
      </c>
      <c r="BL225" s="28"/>
      <c r="BM225" s="25" t="s">
        <v>117</v>
      </c>
      <c r="BN225" s="28"/>
      <c r="BO225" s="25" t="s">
        <v>117</v>
      </c>
      <c r="BP225" s="28"/>
      <c r="BQ225" s="25" t="s">
        <v>117</v>
      </c>
      <c r="BR225" s="28"/>
      <c r="BS225" s="25" t="s">
        <v>117</v>
      </c>
      <c r="BT225" s="28"/>
      <c r="BU225" s="25" t="s">
        <v>117</v>
      </c>
      <c r="BV225" s="28"/>
      <c r="BW225" s="25" t="s">
        <v>117</v>
      </c>
      <c r="BX225" s="28"/>
      <c r="BY225" s="25" t="s">
        <v>117</v>
      </c>
      <c r="BZ225" s="28"/>
      <c r="CA225" s="25" t="s">
        <v>117</v>
      </c>
      <c r="CB225" s="28"/>
      <c r="CC225" s="25" t="s">
        <v>117</v>
      </c>
      <c r="CD225" s="28"/>
      <c r="CE225" s="25" t="s">
        <v>117</v>
      </c>
      <c r="CF225" s="28"/>
      <c r="CG225" s="25" t="s">
        <v>117</v>
      </c>
      <c r="CH225" s="28"/>
      <c r="CI225" s="25"/>
      <c r="CJ225" s="28"/>
      <c r="CK225" s="29" t="s">
        <v>117</v>
      </c>
      <c r="CL225" s="28"/>
      <c r="CM225" s="29" t="s">
        <v>117</v>
      </c>
      <c r="CN225" s="28"/>
      <c r="CO225" s="25" t="s">
        <v>117</v>
      </c>
      <c r="CP225" s="30">
        <v>400</v>
      </c>
      <c r="CQ225" s="23" t="s">
        <v>115</v>
      </c>
      <c r="CR225" s="32"/>
      <c r="CS225" s="23" t="s">
        <v>117</v>
      </c>
      <c r="CT225" s="32"/>
      <c r="CU225" s="23" t="s">
        <v>117</v>
      </c>
      <c r="CV225" s="32"/>
      <c r="CW225" s="23" t="s">
        <v>117</v>
      </c>
      <c r="CX225" s="32"/>
      <c r="CY225" s="25" t="s">
        <v>117</v>
      </c>
      <c r="CZ225" s="32"/>
      <c r="DA225" s="25" t="s">
        <v>117</v>
      </c>
      <c r="DB225" s="33" t="s">
        <v>120</v>
      </c>
      <c r="DC225" s="25" t="s">
        <v>116</v>
      </c>
      <c r="DD225" s="34">
        <f>ROUND(0.075*SUM(AD225,AF225,AH225,AJ225,AL225,AN225,AP225,AR225,AT225,AV225,AX225,AZ225,BB225,BR225,BT225,BV225,BX225,BZ225,CB225,CD225,CF225,CJ225,CL225,CN225,CP225,CR225,CT225,CV225,CX225,CZ225),0)</f>
        <v>392</v>
      </c>
      <c r="DE225" t="s">
        <v>1917</v>
      </c>
      <c r="DF225" t="str">
        <f>A225&amp;"#"&amp;C225&amp;"#"&amp;D225</f>
        <v>Panama#Foundation#Panama Foundation</v>
      </c>
      <c r="DG225" t="b">
        <f>DE225=DF225</f>
        <v>1</v>
      </c>
    </row>
    <row r="226" spans="1:111" ht="78.75" hidden="1" customHeight="1" x14ac:dyDescent="0.35">
      <c r="A226" s="184" t="s">
        <v>1918</v>
      </c>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c r="AA226" s="184"/>
      <c r="AB226" s="184"/>
      <c r="AC226" s="184"/>
      <c r="AD226" s="184"/>
      <c r="AE226" s="184"/>
      <c r="AF226" s="184"/>
      <c r="AG226" s="184"/>
      <c r="AH226" s="184"/>
      <c r="AI226" s="184"/>
      <c r="AJ226" s="184"/>
      <c r="AK226" s="184"/>
      <c r="AL226" s="184"/>
      <c r="AM226" s="184"/>
      <c r="AN226" s="184"/>
      <c r="AO226" s="184"/>
      <c r="AP226" s="184"/>
      <c r="AQ226" s="184"/>
      <c r="AR226" s="184"/>
      <c r="AS226" s="184"/>
      <c r="AT226" s="184"/>
      <c r="AU226" s="184"/>
      <c r="AV226" s="184"/>
      <c r="AW226" s="184"/>
      <c r="AX226" s="184"/>
      <c r="AY226" s="184"/>
      <c r="AZ226" s="184"/>
      <c r="BA226" s="184"/>
      <c r="BB226" s="184"/>
      <c r="BC226" s="184"/>
      <c r="BD226" s="184"/>
      <c r="BE226" s="184"/>
      <c r="BF226" s="184"/>
      <c r="BG226" s="184"/>
      <c r="BH226" s="184"/>
      <c r="BI226" s="184"/>
      <c r="BJ226" s="184"/>
      <c r="BK226" s="184"/>
      <c r="BL226" s="184"/>
      <c r="BM226" s="184"/>
      <c r="BN226" s="184"/>
      <c r="BO226" s="184"/>
      <c r="BP226" s="184"/>
      <c r="BQ226" s="184"/>
      <c r="BR226" s="184"/>
      <c r="BS226" s="184"/>
      <c r="BT226" s="184"/>
      <c r="BU226" s="184"/>
      <c r="BV226" s="184"/>
      <c r="BW226" s="184"/>
      <c r="BX226" s="184"/>
      <c r="BY226" s="184"/>
      <c r="BZ226" s="184"/>
      <c r="CA226" s="184"/>
      <c r="CB226" s="184"/>
      <c r="CC226" s="184"/>
      <c r="CD226" s="184"/>
      <c r="CE226" s="184"/>
      <c r="CF226" s="184"/>
      <c r="CG226" s="184"/>
      <c r="CH226" s="184"/>
      <c r="CI226" s="184"/>
      <c r="CJ226" s="184"/>
      <c r="CK226" s="184"/>
      <c r="CL226" s="184"/>
      <c r="CM226" s="184"/>
      <c r="CN226" s="184"/>
      <c r="CO226" s="184"/>
      <c r="CP226" s="184"/>
      <c r="CQ226" s="184"/>
      <c r="CR226" s="184"/>
      <c r="CS226" s="184"/>
      <c r="CT226" s="184"/>
      <c r="CU226" s="184"/>
      <c r="CV226" s="184"/>
      <c r="CW226" s="184"/>
      <c r="CX226" s="184"/>
      <c r="CY226" s="184"/>
      <c r="CZ226" s="184"/>
      <c r="DA226" s="184"/>
      <c r="DB226" s="184"/>
      <c r="DC226" s="184"/>
      <c r="DE226" t="s">
        <v>85</v>
      </c>
      <c r="DF226" t="str">
        <f>A211&amp;"#"&amp;C211&amp;"#"&amp;D211</f>
        <v>Netherlands#Company#Netherlands Cooperatie UA</v>
      </c>
    </row>
    <row r="227" spans="1:111" ht="78.75" hidden="1" customHeight="1" x14ac:dyDescent="0.35">
      <c r="A227" s="42" t="s">
        <v>1919</v>
      </c>
      <c r="B227" s="42" t="s">
        <v>1920</v>
      </c>
      <c r="C227" s="42" t="s">
        <v>88</v>
      </c>
      <c r="D227" s="43" t="s">
        <v>1921</v>
      </c>
      <c r="E227" s="42" t="s">
        <v>90</v>
      </c>
      <c r="F227" s="20" t="s">
        <v>1922</v>
      </c>
      <c r="G227" s="20" t="s">
        <v>1923</v>
      </c>
      <c r="H227" s="20" t="s">
        <v>1924</v>
      </c>
      <c r="I227" s="20" t="s">
        <v>1925</v>
      </c>
      <c r="J227" s="20" t="s">
        <v>1926</v>
      </c>
      <c r="K227" s="20" t="s">
        <v>96</v>
      </c>
      <c r="L227" s="20" t="s">
        <v>97</v>
      </c>
      <c r="M227" s="20" t="s">
        <v>98</v>
      </c>
      <c r="N227" s="20" t="s">
        <v>1927</v>
      </c>
      <c r="O227" s="20" t="s">
        <v>100</v>
      </c>
      <c r="P227" s="20" t="s">
        <v>101</v>
      </c>
      <c r="Q227" s="20" t="s">
        <v>102</v>
      </c>
      <c r="R227" s="20" t="s">
        <v>103</v>
      </c>
      <c r="S227" s="20" t="s">
        <v>104</v>
      </c>
      <c r="T227" s="20" t="s">
        <v>105</v>
      </c>
      <c r="U227" s="20" t="s">
        <v>106</v>
      </c>
      <c r="V227" s="21" t="s">
        <v>243</v>
      </c>
      <c r="W227" s="21" t="s">
        <v>1928</v>
      </c>
      <c r="X227" s="21" t="s">
        <v>109</v>
      </c>
      <c r="Y227" s="21" t="s">
        <v>1929</v>
      </c>
      <c r="Z227" s="21" t="s">
        <v>256</v>
      </c>
      <c r="AA227" s="21" t="s">
        <v>1930</v>
      </c>
      <c r="AB227" s="21" t="s">
        <v>1931</v>
      </c>
      <c r="AC227" s="21" t="s">
        <v>1932</v>
      </c>
      <c r="AD227" s="47">
        <v>3500</v>
      </c>
      <c r="AE227" s="23" t="s">
        <v>115</v>
      </c>
      <c r="AF227" s="44"/>
      <c r="AG227" s="23" t="s">
        <v>116</v>
      </c>
      <c r="AH227" s="79">
        <v>500</v>
      </c>
      <c r="AI227" s="25" t="s">
        <v>115</v>
      </c>
      <c r="AJ227" s="44"/>
      <c r="AK227" s="25" t="s">
        <v>117</v>
      </c>
      <c r="AL227" s="22">
        <v>0</v>
      </c>
      <c r="AM227" s="23" t="s">
        <v>115</v>
      </c>
      <c r="AN227" s="44"/>
      <c r="AO227" s="25" t="s">
        <v>117</v>
      </c>
      <c r="AP227" s="47">
        <v>2800</v>
      </c>
      <c r="AQ227" s="23" t="s">
        <v>115</v>
      </c>
      <c r="AR227" s="44"/>
      <c r="AS227" s="23" t="s">
        <v>117</v>
      </c>
      <c r="AT227" s="45" t="s">
        <v>118</v>
      </c>
      <c r="AU227" s="23" t="s">
        <v>116</v>
      </c>
      <c r="AV227" s="47">
        <v>1500</v>
      </c>
      <c r="AW227" s="23" t="s">
        <v>115</v>
      </c>
      <c r="AX227" s="47">
        <v>4500</v>
      </c>
      <c r="AY227" s="23" t="s">
        <v>115</v>
      </c>
      <c r="AZ227" s="47">
        <v>500</v>
      </c>
      <c r="BA227" s="23" t="s">
        <v>115</v>
      </c>
      <c r="BB227" s="45" t="s">
        <v>1933</v>
      </c>
      <c r="BC227" s="23" t="s">
        <v>115</v>
      </c>
      <c r="BD227" s="47">
        <v>1800</v>
      </c>
      <c r="BE227" s="23" t="s">
        <v>115</v>
      </c>
      <c r="BF227" s="47">
        <v>7500</v>
      </c>
      <c r="BG227" s="23" t="s">
        <v>115</v>
      </c>
      <c r="BH227" s="45" t="s">
        <v>1934</v>
      </c>
      <c r="BI227" s="25" t="s">
        <v>116</v>
      </c>
      <c r="BJ227" s="47">
        <v>1700</v>
      </c>
      <c r="BK227" s="25" t="s">
        <v>116</v>
      </c>
      <c r="BL227" s="45" t="s">
        <v>1934</v>
      </c>
      <c r="BM227" s="25" t="s">
        <v>116</v>
      </c>
      <c r="BN227" s="46"/>
      <c r="BO227" s="25" t="s">
        <v>117</v>
      </c>
      <c r="BP227" s="45" t="s">
        <v>1934</v>
      </c>
      <c r="BQ227" s="25" t="s">
        <v>116</v>
      </c>
      <c r="BR227" s="46"/>
      <c r="BS227" s="25" t="s">
        <v>117</v>
      </c>
      <c r="BT227" s="46"/>
      <c r="BU227" s="25" t="s">
        <v>117</v>
      </c>
      <c r="BV227" s="46"/>
      <c r="BW227" s="25" t="s">
        <v>117</v>
      </c>
      <c r="BX227" s="46"/>
      <c r="BY227" s="25" t="s">
        <v>117</v>
      </c>
      <c r="BZ227" s="46"/>
      <c r="CA227" s="25" t="s">
        <v>117</v>
      </c>
      <c r="CB227" s="46"/>
      <c r="CC227" s="25" t="s">
        <v>117</v>
      </c>
      <c r="CD227" s="46"/>
      <c r="CE227" s="25" t="s">
        <v>117</v>
      </c>
      <c r="CF227" s="46"/>
      <c r="CG227" s="25" t="s">
        <v>117</v>
      </c>
      <c r="CH227" s="46"/>
      <c r="CI227" s="25"/>
      <c r="CJ227" s="46"/>
      <c r="CK227" s="48" t="s">
        <v>117</v>
      </c>
      <c r="CL227" s="46"/>
      <c r="CM227" s="48" t="s">
        <v>117</v>
      </c>
      <c r="CN227" s="46"/>
      <c r="CO227" s="25" t="s">
        <v>117</v>
      </c>
      <c r="CP227" s="30">
        <v>400</v>
      </c>
      <c r="CQ227" s="23" t="s">
        <v>115</v>
      </c>
      <c r="CR227" s="32"/>
      <c r="CS227" s="23" t="s">
        <v>117</v>
      </c>
      <c r="CT227" s="32"/>
      <c r="CU227" s="23" t="s">
        <v>117</v>
      </c>
      <c r="CV227" s="32"/>
      <c r="CW227" s="23" t="s">
        <v>117</v>
      </c>
      <c r="CX227" s="32"/>
      <c r="CY227" s="25" t="s">
        <v>117</v>
      </c>
      <c r="CZ227" s="32"/>
      <c r="DA227" s="25" t="s">
        <v>117</v>
      </c>
      <c r="DB227" s="33" t="s">
        <v>1935</v>
      </c>
      <c r="DC227" s="25" t="s">
        <v>116</v>
      </c>
      <c r="DD227" s="34">
        <f>ROUND(0.075*SUM(AD227,AF227,AH227,AJ227,AL227,AN227,AP227,AR227,AT227,AV227,AX227,AZ227,BB227,BR227,BT227,BV227,BX227,BZ227,CB227,CD227,CF227,CJ227,CL227,CN227,CP227,CR227,CT227,CV227,CX227,CZ227),0)</f>
        <v>1028</v>
      </c>
      <c r="DE227" t="s">
        <v>1936</v>
      </c>
      <c r="DF227" t="str">
        <f>A227&amp;"#"&amp;C227&amp;"#"&amp;D227</f>
        <v>Philippines#Company#Phillipines Inc</v>
      </c>
      <c r="DG227" t="b">
        <f>DE227=DF227</f>
        <v>0</v>
      </c>
    </row>
    <row r="228" spans="1:111" ht="78.75" hidden="1" customHeight="1" x14ac:dyDescent="0.35">
      <c r="A228" s="184" t="s">
        <v>1937</v>
      </c>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c r="AA228" s="184"/>
      <c r="AB228" s="184"/>
      <c r="AC228" s="184"/>
      <c r="AD228" s="184"/>
      <c r="AE228" s="184"/>
      <c r="AF228" s="184"/>
      <c r="AG228" s="184"/>
      <c r="AH228" s="184"/>
      <c r="AI228" s="184"/>
      <c r="AJ228" s="184"/>
      <c r="AK228" s="184"/>
      <c r="AL228" s="184"/>
      <c r="AM228" s="184"/>
      <c r="AN228" s="184"/>
      <c r="AO228" s="184"/>
      <c r="AP228" s="184"/>
      <c r="AQ228" s="184"/>
      <c r="AR228" s="184"/>
      <c r="AS228" s="184"/>
      <c r="AT228" s="184"/>
      <c r="AU228" s="184"/>
      <c r="AV228" s="184"/>
      <c r="AW228" s="184"/>
      <c r="AX228" s="184"/>
      <c r="AY228" s="184"/>
      <c r="AZ228" s="184"/>
      <c r="BA228" s="184"/>
      <c r="BB228" s="184"/>
      <c r="BC228" s="184"/>
      <c r="BD228" s="184"/>
      <c r="BE228" s="184"/>
      <c r="BF228" s="184"/>
      <c r="BG228" s="184"/>
      <c r="BH228" s="184"/>
      <c r="BI228" s="184"/>
      <c r="BJ228" s="184"/>
      <c r="BK228" s="184"/>
      <c r="BL228" s="184"/>
      <c r="BM228" s="184"/>
      <c r="BN228" s="184"/>
      <c r="BO228" s="184"/>
      <c r="BP228" s="184"/>
      <c r="BQ228" s="184"/>
      <c r="BR228" s="184"/>
      <c r="BS228" s="184"/>
      <c r="BT228" s="184"/>
      <c r="BU228" s="184"/>
      <c r="BV228" s="184"/>
      <c r="BW228" s="184"/>
      <c r="BX228" s="184"/>
      <c r="BY228" s="184"/>
      <c r="BZ228" s="184"/>
      <c r="CA228" s="184"/>
      <c r="CB228" s="184"/>
      <c r="CC228" s="184"/>
      <c r="CD228" s="184"/>
      <c r="CE228" s="184"/>
      <c r="CF228" s="184"/>
      <c r="CG228" s="184"/>
      <c r="CH228" s="184"/>
      <c r="CI228" s="184"/>
      <c r="CJ228" s="184"/>
      <c r="CK228" s="184"/>
      <c r="CL228" s="184"/>
      <c r="CM228" s="184"/>
      <c r="CN228" s="184"/>
      <c r="CO228" s="184"/>
      <c r="CP228" s="184"/>
      <c r="CQ228" s="184"/>
      <c r="CR228" s="184"/>
      <c r="CS228" s="184"/>
      <c r="CT228" s="184"/>
      <c r="CU228" s="184"/>
      <c r="CV228" s="184"/>
      <c r="CW228" s="184"/>
      <c r="CX228" s="184"/>
      <c r="CY228" s="184"/>
      <c r="CZ228" s="184"/>
      <c r="DA228" s="184"/>
      <c r="DB228" s="184"/>
      <c r="DC228" s="184"/>
      <c r="DE228" t="s">
        <v>85</v>
      </c>
      <c r="DF228" t="str">
        <f>A213&amp;"#"&amp;C213&amp;"#"&amp;D213</f>
        <v xml:space="preserve">   NEVIS##</v>
      </c>
    </row>
    <row r="229" spans="1:111" ht="78.75" customHeight="1" x14ac:dyDescent="0.35">
      <c r="A229" s="42" t="s">
        <v>1938</v>
      </c>
      <c r="B229" s="35" t="s">
        <v>625</v>
      </c>
      <c r="C229" s="42" t="s">
        <v>141</v>
      </c>
      <c r="D229" s="43" t="s">
        <v>1939</v>
      </c>
      <c r="E229" s="42" t="s">
        <v>90</v>
      </c>
      <c r="F229" s="20" t="s">
        <v>1940</v>
      </c>
      <c r="G229" s="20" t="s">
        <v>1941</v>
      </c>
      <c r="H229" s="20" t="s">
        <v>145</v>
      </c>
      <c r="I229" s="20" t="s">
        <v>146</v>
      </c>
      <c r="J229" s="20" t="s">
        <v>1942</v>
      </c>
      <c r="K229" s="20" t="s">
        <v>96</v>
      </c>
      <c r="L229" s="20" t="s">
        <v>97</v>
      </c>
      <c r="M229" s="20" t="s">
        <v>98</v>
      </c>
      <c r="N229" s="20" t="s">
        <v>147</v>
      </c>
      <c r="O229" s="20" t="s">
        <v>148</v>
      </c>
      <c r="P229" s="20" t="s">
        <v>149</v>
      </c>
      <c r="Q229" s="20" t="s">
        <v>150</v>
      </c>
      <c r="R229" s="20" t="s">
        <v>151</v>
      </c>
      <c r="S229" s="20" t="s">
        <v>152</v>
      </c>
      <c r="T229" s="20" t="s">
        <v>153</v>
      </c>
      <c r="U229" s="20" t="s">
        <v>154</v>
      </c>
      <c r="V229" s="21" t="s">
        <v>267</v>
      </c>
      <c r="W229" s="21" t="s">
        <v>203</v>
      </c>
      <c r="X229" s="21" t="s">
        <v>109</v>
      </c>
      <c r="Y229" s="21" t="s">
        <v>1943</v>
      </c>
      <c r="Z229" s="21" t="s">
        <v>256</v>
      </c>
      <c r="AA229" s="21" t="s">
        <v>1944</v>
      </c>
      <c r="AB229" s="21" t="s">
        <v>1945</v>
      </c>
      <c r="AC229" s="21" t="s">
        <v>1946</v>
      </c>
      <c r="AE229" s="23" t="s">
        <v>115</v>
      </c>
      <c r="AF229" s="44"/>
      <c r="AG229" s="23" t="s">
        <v>116</v>
      </c>
      <c r="AH229" s="44"/>
      <c r="AI229" s="25" t="s">
        <v>117</v>
      </c>
      <c r="AJ229" s="44"/>
      <c r="AK229" s="25" t="s">
        <v>117</v>
      </c>
      <c r="AL229" s="22">
        <v>0</v>
      </c>
      <c r="AM229" s="23" t="s">
        <v>115</v>
      </c>
      <c r="AN229" s="44"/>
      <c r="AO229" s="25" t="s">
        <v>117</v>
      </c>
      <c r="AP229" s="45" t="s">
        <v>118</v>
      </c>
      <c r="AQ229" s="23" t="s">
        <v>115</v>
      </c>
      <c r="AR229" s="46"/>
      <c r="AS229" s="23" t="s">
        <v>117</v>
      </c>
      <c r="AT229" s="45" t="s">
        <v>118</v>
      </c>
      <c r="AU229" s="23" t="s">
        <v>116</v>
      </c>
      <c r="AV229" s="45" t="s">
        <v>118</v>
      </c>
      <c r="AW229" s="23" t="s">
        <v>115</v>
      </c>
      <c r="AX229" s="45" t="s">
        <v>118</v>
      </c>
      <c r="AY229" s="23" t="s">
        <v>115</v>
      </c>
      <c r="AZ229" s="45" t="s">
        <v>118</v>
      </c>
      <c r="BA229" s="23" t="s">
        <v>115</v>
      </c>
      <c r="BB229" s="46"/>
      <c r="BC229" s="23" t="s">
        <v>115</v>
      </c>
      <c r="BD229" s="45" t="s">
        <v>118</v>
      </c>
      <c r="BE229" s="23" t="s">
        <v>115</v>
      </c>
      <c r="BF229" s="45" t="s">
        <v>118</v>
      </c>
      <c r="BG229" s="23" t="s">
        <v>115</v>
      </c>
      <c r="BH229" s="46"/>
      <c r="BI229" s="25" t="s">
        <v>117</v>
      </c>
      <c r="BJ229" s="46"/>
      <c r="BK229" s="25" t="s">
        <v>117</v>
      </c>
      <c r="BL229" s="46"/>
      <c r="BM229" s="25" t="s">
        <v>117</v>
      </c>
      <c r="BN229" s="46"/>
      <c r="BO229" s="25" t="s">
        <v>117</v>
      </c>
      <c r="BP229" s="46"/>
      <c r="BQ229" s="25" t="s">
        <v>117</v>
      </c>
      <c r="BR229" s="47">
        <v>10000</v>
      </c>
      <c r="BS229" s="25" t="s">
        <v>115</v>
      </c>
      <c r="BT229" s="46"/>
      <c r="BU229" s="25" t="s">
        <v>117</v>
      </c>
      <c r="BV229" s="46"/>
      <c r="BW229" s="25" t="s">
        <v>117</v>
      </c>
      <c r="BX229" s="46"/>
      <c r="BY229" s="25" t="s">
        <v>117</v>
      </c>
      <c r="BZ229" s="46"/>
      <c r="CA229" s="25" t="s">
        <v>117</v>
      </c>
      <c r="CB229" s="45" t="s">
        <v>159</v>
      </c>
      <c r="CC229" s="25" t="s">
        <v>116</v>
      </c>
      <c r="CD229" s="46"/>
      <c r="CE229" s="25" t="s">
        <v>117</v>
      </c>
      <c r="CF229" s="46"/>
      <c r="CG229" s="25" t="s">
        <v>117</v>
      </c>
      <c r="CH229" s="151">
        <v>5000</v>
      </c>
      <c r="CI229" s="25" t="s">
        <v>116</v>
      </c>
      <c r="CJ229" s="151">
        <v>2500</v>
      </c>
      <c r="CK229" s="48" t="s">
        <v>116</v>
      </c>
      <c r="CL229" s="46">
        <v>1500</v>
      </c>
      <c r="CM229" s="48" t="s">
        <v>116</v>
      </c>
      <c r="CN229" s="46">
        <v>1500</v>
      </c>
      <c r="CO229" s="25" t="s">
        <v>116</v>
      </c>
      <c r="CP229" s="30">
        <v>400</v>
      </c>
      <c r="CQ229" s="23" t="s">
        <v>115</v>
      </c>
      <c r="CR229" s="32"/>
      <c r="CS229" s="23" t="s">
        <v>117</v>
      </c>
      <c r="CT229" s="32"/>
      <c r="CU229" s="23" t="s">
        <v>117</v>
      </c>
      <c r="CV229" s="32"/>
      <c r="CW229" s="23" t="s">
        <v>117</v>
      </c>
      <c r="CX229" s="32"/>
      <c r="CY229" s="25" t="s">
        <v>117</v>
      </c>
      <c r="CZ229" s="32"/>
      <c r="DA229" s="25" t="s">
        <v>117</v>
      </c>
      <c r="DB229" s="33" t="s">
        <v>120</v>
      </c>
      <c r="DC229" s="25" t="s">
        <v>116</v>
      </c>
      <c r="DD229" s="34">
        <f>ROUND(0.075*SUM(AD229,AF229,AH229,AJ229,AL229,AN229,AP229,AR229,AT229,AV229,AX229,AZ229,BB229,BR229,BT229,BV229,BX229,BZ229,CB229,CD229,CF229,CJ229,CL229,CN229,CP229,CR229,CT229,CV229,CX229,CZ229),0)</f>
        <v>1193</v>
      </c>
      <c r="DE229" t="s">
        <v>1947</v>
      </c>
      <c r="DF229" t="str">
        <f>A229&amp;"#"&amp;C229&amp;"#"&amp;D229</f>
        <v>Peru#Fund#Peru Fondo de Inversion</v>
      </c>
      <c r="DG229" t="b">
        <f>DE229=DF229</f>
        <v>1</v>
      </c>
    </row>
    <row r="230" spans="1:111" ht="157.5" customHeight="1" x14ac:dyDescent="0.35">
      <c r="A230" s="35" t="s">
        <v>1938</v>
      </c>
      <c r="B230" s="35" t="s">
        <v>625</v>
      </c>
      <c r="C230" s="35" t="s">
        <v>141</v>
      </c>
      <c r="D230" s="36" t="s">
        <v>1948</v>
      </c>
      <c r="E230" s="35" t="s">
        <v>90</v>
      </c>
      <c r="F230" s="20" t="s">
        <v>657</v>
      </c>
      <c r="G230" s="20" t="s">
        <v>1949</v>
      </c>
      <c r="H230" s="20" t="s">
        <v>145</v>
      </c>
      <c r="I230" s="20" t="s">
        <v>146</v>
      </c>
      <c r="J230" s="20" t="s">
        <v>1942</v>
      </c>
      <c r="K230" s="20" t="s">
        <v>96</v>
      </c>
      <c r="L230" s="20" t="s">
        <v>97</v>
      </c>
      <c r="M230" s="20" t="s">
        <v>98</v>
      </c>
      <c r="N230" s="20" t="s">
        <v>147</v>
      </c>
      <c r="O230" s="20" t="s">
        <v>148</v>
      </c>
      <c r="P230" s="20" t="s">
        <v>149</v>
      </c>
      <c r="Q230" s="20" t="s">
        <v>150</v>
      </c>
      <c r="R230" s="20" t="s">
        <v>151</v>
      </c>
      <c r="S230" s="20" t="s">
        <v>152</v>
      </c>
      <c r="T230" s="20" t="s">
        <v>153</v>
      </c>
      <c r="U230" s="20" t="s">
        <v>154</v>
      </c>
      <c r="V230" s="21" t="s">
        <v>267</v>
      </c>
      <c r="W230" s="21" t="s">
        <v>203</v>
      </c>
      <c r="X230" s="21" t="s">
        <v>109</v>
      </c>
      <c r="Y230" s="21" t="s">
        <v>1950</v>
      </c>
      <c r="Z230" s="21" t="s">
        <v>256</v>
      </c>
      <c r="AA230" s="21" t="s">
        <v>1944</v>
      </c>
      <c r="AB230" s="21" t="s">
        <v>1951</v>
      </c>
      <c r="AC230" s="21" t="s">
        <v>1952</v>
      </c>
      <c r="AE230" s="23" t="s">
        <v>115</v>
      </c>
      <c r="AF230" s="38"/>
      <c r="AG230" s="23" t="s">
        <v>116</v>
      </c>
      <c r="AH230" s="38"/>
      <c r="AI230" s="25" t="s">
        <v>117</v>
      </c>
      <c r="AJ230" s="38"/>
      <c r="AK230" s="25" t="s">
        <v>117</v>
      </c>
      <c r="AL230" s="22">
        <v>0</v>
      </c>
      <c r="AM230" s="23" t="s">
        <v>115</v>
      </c>
      <c r="AN230" s="38"/>
      <c r="AO230" s="25" t="s">
        <v>117</v>
      </c>
      <c r="AP230" s="39" t="s">
        <v>118</v>
      </c>
      <c r="AQ230" s="23" t="s">
        <v>115</v>
      </c>
      <c r="AR230" s="40"/>
      <c r="AS230" s="23" t="s">
        <v>117</v>
      </c>
      <c r="AT230" s="39" t="s">
        <v>118</v>
      </c>
      <c r="AU230" s="23" t="s">
        <v>116</v>
      </c>
      <c r="AV230" s="39" t="s">
        <v>118</v>
      </c>
      <c r="AW230" s="23" t="s">
        <v>115</v>
      </c>
      <c r="AX230" s="39" t="s">
        <v>118</v>
      </c>
      <c r="AY230" s="23" t="s">
        <v>115</v>
      </c>
      <c r="AZ230" s="39" t="s">
        <v>118</v>
      </c>
      <c r="BA230" s="23" t="s">
        <v>115</v>
      </c>
      <c r="BB230" s="40"/>
      <c r="BC230" s="23" t="s">
        <v>115</v>
      </c>
      <c r="BD230" s="39" t="s">
        <v>118</v>
      </c>
      <c r="BE230" s="23" t="s">
        <v>115</v>
      </c>
      <c r="BF230" s="39" t="s">
        <v>118</v>
      </c>
      <c r="BG230" s="23" t="s">
        <v>115</v>
      </c>
      <c r="BH230" s="40"/>
      <c r="BI230" s="25" t="s">
        <v>117</v>
      </c>
      <c r="BJ230" s="40"/>
      <c r="BK230" s="25" t="s">
        <v>117</v>
      </c>
      <c r="BL230" s="40"/>
      <c r="BM230" s="25" t="s">
        <v>117</v>
      </c>
      <c r="BN230" s="40"/>
      <c r="BO230" s="25" t="s">
        <v>117</v>
      </c>
      <c r="BP230" s="40"/>
      <c r="BQ230" s="25" t="s">
        <v>117</v>
      </c>
      <c r="BR230" s="37">
        <v>10000</v>
      </c>
      <c r="BS230" s="25" t="s">
        <v>115</v>
      </c>
      <c r="BT230" s="40"/>
      <c r="BU230" s="25" t="s">
        <v>117</v>
      </c>
      <c r="BV230" s="40"/>
      <c r="BW230" s="25" t="s">
        <v>117</v>
      </c>
      <c r="BX230" s="40"/>
      <c r="BY230" s="25" t="s">
        <v>117</v>
      </c>
      <c r="BZ230" s="46"/>
      <c r="CA230" s="25" t="s">
        <v>117</v>
      </c>
      <c r="CB230" s="45" t="s">
        <v>159</v>
      </c>
      <c r="CC230" s="25" t="s">
        <v>116</v>
      </c>
      <c r="CD230" s="40"/>
      <c r="CE230" s="25" t="s">
        <v>117</v>
      </c>
      <c r="CF230" s="40"/>
      <c r="CG230" s="25" t="s">
        <v>117</v>
      </c>
      <c r="CH230" s="151">
        <v>5000</v>
      </c>
      <c r="CI230" s="25" t="s">
        <v>116</v>
      </c>
      <c r="CJ230" s="151">
        <v>2500</v>
      </c>
      <c r="CK230" s="48" t="s">
        <v>116</v>
      </c>
      <c r="CL230" s="46">
        <v>1500</v>
      </c>
      <c r="CM230" s="48" t="s">
        <v>116</v>
      </c>
      <c r="CN230" s="46">
        <v>1500</v>
      </c>
      <c r="CO230" s="25" t="s">
        <v>116</v>
      </c>
      <c r="CP230" s="30">
        <v>400</v>
      </c>
      <c r="CQ230" s="23" t="s">
        <v>115</v>
      </c>
      <c r="CR230" s="32"/>
      <c r="CS230" s="23" t="s">
        <v>117</v>
      </c>
      <c r="CT230" s="32"/>
      <c r="CU230" s="23" t="s">
        <v>117</v>
      </c>
      <c r="CV230" s="32"/>
      <c r="CW230" s="23" t="s">
        <v>117</v>
      </c>
      <c r="CX230" s="32"/>
      <c r="CY230" s="25" t="s">
        <v>117</v>
      </c>
      <c r="CZ230" s="32"/>
      <c r="DA230" s="25" t="s">
        <v>117</v>
      </c>
      <c r="DB230" s="33" t="s">
        <v>120</v>
      </c>
      <c r="DC230" s="25" t="s">
        <v>116</v>
      </c>
      <c r="DD230" s="34">
        <f>ROUND(0.075*SUM(AD230,AF230,AH230,AJ230,AL230,AN230,AP230,AR230,AT230,AV230,AX230,AZ230,BB230,BR230,BT230,BV230,BX230,BZ230,CB230,CD230,CF230,CJ230,CL230,CN230,CP230,CR230,CT230,CV230,CX230,CZ230),0)</f>
        <v>1193</v>
      </c>
      <c r="DE230" t="s">
        <v>1953</v>
      </c>
      <c r="DF230" t="str">
        <f>A230&amp;"#"&amp;C230&amp;"#"&amp;D230</f>
        <v>Peru#Fund#Peru Fondo Mutuo</v>
      </c>
      <c r="DG230" t="b">
        <f>DE230=DF230</f>
        <v>1</v>
      </c>
    </row>
    <row r="231" spans="1:111" ht="78.75" customHeight="1" x14ac:dyDescent="0.35">
      <c r="A231" s="42" t="s">
        <v>1938</v>
      </c>
      <c r="B231" s="35" t="s">
        <v>625</v>
      </c>
      <c r="C231" s="42" t="s">
        <v>141</v>
      </c>
      <c r="D231" s="43" t="s">
        <v>1954</v>
      </c>
      <c r="E231" s="42" t="s">
        <v>90</v>
      </c>
      <c r="F231" s="20" t="s">
        <v>1955</v>
      </c>
      <c r="G231" s="20" t="s">
        <v>1956</v>
      </c>
      <c r="H231" s="20" t="s">
        <v>145</v>
      </c>
      <c r="I231" s="20" t="s">
        <v>146</v>
      </c>
      <c r="J231" s="20" t="s">
        <v>1942</v>
      </c>
      <c r="K231" s="20" t="s">
        <v>96</v>
      </c>
      <c r="L231" s="20" t="s">
        <v>97</v>
      </c>
      <c r="M231" s="20" t="s">
        <v>98</v>
      </c>
      <c r="N231" s="20" t="s">
        <v>147</v>
      </c>
      <c r="O231" s="20" t="s">
        <v>148</v>
      </c>
      <c r="P231" s="20" t="s">
        <v>149</v>
      </c>
      <c r="Q231" s="20" t="s">
        <v>150</v>
      </c>
      <c r="R231" s="20" t="s">
        <v>151</v>
      </c>
      <c r="S231" s="20" t="s">
        <v>152</v>
      </c>
      <c r="T231" s="20" t="s">
        <v>153</v>
      </c>
      <c r="U231" s="20" t="s">
        <v>154</v>
      </c>
      <c r="V231" s="21" t="s">
        <v>292</v>
      </c>
      <c r="W231" s="21" t="s">
        <v>203</v>
      </c>
      <c r="X231" s="21" t="s">
        <v>620</v>
      </c>
      <c r="Y231" s="21" t="s">
        <v>1957</v>
      </c>
      <c r="Z231" s="21" t="s">
        <v>111</v>
      </c>
      <c r="AA231" s="21" t="s">
        <v>1958</v>
      </c>
      <c r="AB231" s="21" t="s">
        <v>1959</v>
      </c>
      <c r="AC231" s="21" t="s">
        <v>1960</v>
      </c>
      <c r="AE231" s="23" t="s">
        <v>115</v>
      </c>
      <c r="AF231" s="44"/>
      <c r="AG231" s="23" t="s">
        <v>116</v>
      </c>
      <c r="AH231" s="44"/>
      <c r="AI231" s="25" t="s">
        <v>117</v>
      </c>
      <c r="AJ231" s="44"/>
      <c r="AK231" s="25" t="s">
        <v>117</v>
      </c>
      <c r="AL231" s="22">
        <v>0</v>
      </c>
      <c r="AM231" s="23" t="s">
        <v>115</v>
      </c>
      <c r="AN231" s="44"/>
      <c r="AO231" s="25" t="s">
        <v>117</v>
      </c>
      <c r="AP231" s="45" t="s">
        <v>118</v>
      </c>
      <c r="AQ231" s="23" t="s">
        <v>115</v>
      </c>
      <c r="AR231" s="46"/>
      <c r="AS231" s="23" t="s">
        <v>117</v>
      </c>
      <c r="AT231" s="45" t="s">
        <v>118</v>
      </c>
      <c r="AU231" s="23" t="s">
        <v>116</v>
      </c>
      <c r="AV231" s="45" t="s">
        <v>118</v>
      </c>
      <c r="AW231" s="23" t="s">
        <v>115</v>
      </c>
      <c r="AX231" s="45" t="s">
        <v>118</v>
      </c>
      <c r="AY231" s="23" t="s">
        <v>115</v>
      </c>
      <c r="AZ231" s="45" t="s">
        <v>118</v>
      </c>
      <c r="BA231" s="23" t="s">
        <v>115</v>
      </c>
      <c r="BB231" s="46"/>
      <c r="BC231" s="23" t="s">
        <v>115</v>
      </c>
      <c r="BD231" s="45" t="s">
        <v>118</v>
      </c>
      <c r="BE231" s="23" t="s">
        <v>115</v>
      </c>
      <c r="BF231" s="45" t="s">
        <v>118</v>
      </c>
      <c r="BG231" s="23" t="s">
        <v>115</v>
      </c>
      <c r="BH231" s="46"/>
      <c r="BI231" s="25" t="s">
        <v>117</v>
      </c>
      <c r="BJ231" s="46"/>
      <c r="BK231" s="25" t="s">
        <v>117</v>
      </c>
      <c r="BL231" s="46"/>
      <c r="BM231" s="25" t="s">
        <v>117</v>
      </c>
      <c r="BN231" s="46"/>
      <c r="BO231" s="25" t="s">
        <v>117</v>
      </c>
      <c r="BP231" s="46"/>
      <c r="BQ231" s="25" t="s">
        <v>117</v>
      </c>
      <c r="BR231" s="47">
        <v>10000</v>
      </c>
      <c r="BS231" s="25" t="s">
        <v>115</v>
      </c>
      <c r="BT231" s="46"/>
      <c r="BU231" s="25" t="s">
        <v>117</v>
      </c>
      <c r="BV231" s="46"/>
      <c r="BW231" s="25" t="s">
        <v>117</v>
      </c>
      <c r="BX231" s="46"/>
      <c r="BY231" s="25" t="s">
        <v>117</v>
      </c>
      <c r="BZ231" s="46"/>
      <c r="CA231" s="25" t="s">
        <v>117</v>
      </c>
      <c r="CB231" s="45" t="s">
        <v>159</v>
      </c>
      <c r="CC231" s="25" t="s">
        <v>116</v>
      </c>
      <c r="CD231" s="46"/>
      <c r="CE231" s="25" t="s">
        <v>117</v>
      </c>
      <c r="CF231" s="46"/>
      <c r="CG231" s="25" t="s">
        <v>117</v>
      </c>
      <c r="CH231" s="151">
        <v>5000</v>
      </c>
      <c r="CI231" s="25" t="s">
        <v>116</v>
      </c>
      <c r="CJ231" s="151">
        <v>2500</v>
      </c>
      <c r="CK231" s="48" t="s">
        <v>116</v>
      </c>
      <c r="CL231" s="46">
        <v>1500</v>
      </c>
      <c r="CM231" s="48" t="s">
        <v>116</v>
      </c>
      <c r="CN231" s="46">
        <v>1500</v>
      </c>
      <c r="CO231" s="25" t="s">
        <v>116</v>
      </c>
      <c r="CP231" s="30">
        <v>400</v>
      </c>
      <c r="CQ231" s="23" t="s">
        <v>115</v>
      </c>
      <c r="CR231" s="32"/>
      <c r="CS231" s="23" t="s">
        <v>117</v>
      </c>
      <c r="CT231" s="32"/>
      <c r="CU231" s="23" t="s">
        <v>117</v>
      </c>
      <c r="CV231" s="32"/>
      <c r="CW231" s="23" t="s">
        <v>117</v>
      </c>
      <c r="CX231" s="32"/>
      <c r="CY231" s="25" t="s">
        <v>117</v>
      </c>
      <c r="CZ231" s="32"/>
      <c r="DA231" s="25" t="s">
        <v>117</v>
      </c>
      <c r="DB231" s="33" t="s">
        <v>120</v>
      </c>
      <c r="DC231" s="25" t="s">
        <v>116</v>
      </c>
      <c r="DD231" s="34">
        <f>ROUND(0.075*SUM(AD231,AF231,AH231,AJ231,AL231,AN231,AP231,AR231,AT231,AV231,AX231,AZ231,BB231,BR231,BT231,BV231,BX231,BZ231,CB231,CD231,CF231,CJ231,CL231,CN231,CP231,CR231,CT231,CV231,CX231,CZ231),0)</f>
        <v>1193</v>
      </c>
      <c r="DE231" t="s">
        <v>1961</v>
      </c>
      <c r="DF231" t="str">
        <f>A231&amp;"#"&amp;C231&amp;"#"&amp;D231</f>
        <v>Peru#Fund#Peru Fideicomiso de Inversion</v>
      </c>
      <c r="DG231" t="b">
        <f>DE231=DF231</f>
        <v>1</v>
      </c>
    </row>
    <row r="232" spans="1:111" ht="78.75" customHeight="1" x14ac:dyDescent="0.35">
      <c r="A232" s="35" t="s">
        <v>1938</v>
      </c>
      <c r="B232" s="35" t="s">
        <v>625</v>
      </c>
      <c r="C232" s="35" t="s">
        <v>141</v>
      </c>
      <c r="D232" s="36" t="s">
        <v>1962</v>
      </c>
      <c r="E232" s="35" t="s">
        <v>90</v>
      </c>
      <c r="F232" s="20" t="s">
        <v>596</v>
      </c>
      <c r="G232" s="20" t="s">
        <v>1963</v>
      </c>
      <c r="H232" s="20" t="s">
        <v>145</v>
      </c>
      <c r="I232" s="20" t="s">
        <v>146</v>
      </c>
      <c r="J232" s="20" t="s">
        <v>1942</v>
      </c>
      <c r="K232" s="20" t="s">
        <v>96</v>
      </c>
      <c r="L232" s="20" t="s">
        <v>97</v>
      </c>
      <c r="M232" s="20" t="s">
        <v>98</v>
      </c>
      <c r="N232" s="20" t="s">
        <v>147</v>
      </c>
      <c r="O232" s="20" t="s">
        <v>148</v>
      </c>
      <c r="P232" s="20" t="s">
        <v>149</v>
      </c>
      <c r="Q232" s="20" t="s">
        <v>150</v>
      </c>
      <c r="R232" s="20" t="s">
        <v>151</v>
      </c>
      <c r="S232" s="20" t="s">
        <v>152</v>
      </c>
      <c r="T232" s="20" t="s">
        <v>153</v>
      </c>
      <c r="U232" s="20" t="s">
        <v>154</v>
      </c>
      <c r="V232" s="21" t="s">
        <v>155</v>
      </c>
      <c r="W232" s="21" t="s">
        <v>203</v>
      </c>
      <c r="X232" s="21" t="s">
        <v>109</v>
      </c>
      <c r="Y232" s="21" t="s">
        <v>1964</v>
      </c>
      <c r="Z232" s="21" t="s">
        <v>256</v>
      </c>
      <c r="AA232" s="21" t="s">
        <v>601</v>
      </c>
      <c r="AB232" s="21" t="s">
        <v>1965</v>
      </c>
      <c r="AC232" s="21" t="s">
        <v>1966</v>
      </c>
      <c r="AE232" s="23" t="s">
        <v>115</v>
      </c>
      <c r="AF232" s="38"/>
      <c r="AG232" s="23" t="s">
        <v>116</v>
      </c>
      <c r="AH232" s="38"/>
      <c r="AI232" s="25" t="s">
        <v>117</v>
      </c>
      <c r="AJ232" s="38"/>
      <c r="AK232" s="25" t="s">
        <v>117</v>
      </c>
      <c r="AL232" s="22">
        <v>0</v>
      </c>
      <c r="AM232" s="23" t="s">
        <v>115</v>
      </c>
      <c r="AN232" s="38"/>
      <c r="AO232" s="25" t="s">
        <v>117</v>
      </c>
      <c r="AP232" s="39" t="s">
        <v>118</v>
      </c>
      <c r="AQ232" s="23" t="s">
        <v>115</v>
      </c>
      <c r="AR232" s="40"/>
      <c r="AS232" s="23" t="s">
        <v>117</v>
      </c>
      <c r="AT232" s="39" t="s">
        <v>118</v>
      </c>
      <c r="AU232" s="23" t="s">
        <v>116</v>
      </c>
      <c r="AV232" s="39" t="s">
        <v>118</v>
      </c>
      <c r="AW232" s="23" t="s">
        <v>115</v>
      </c>
      <c r="AX232" s="39" t="s">
        <v>118</v>
      </c>
      <c r="AY232" s="23" t="s">
        <v>115</v>
      </c>
      <c r="AZ232" s="39" t="s">
        <v>118</v>
      </c>
      <c r="BA232" s="23" t="s">
        <v>115</v>
      </c>
      <c r="BB232" s="40"/>
      <c r="BC232" s="23" t="s">
        <v>115</v>
      </c>
      <c r="BD232" s="39" t="s">
        <v>118</v>
      </c>
      <c r="BE232" s="23" t="s">
        <v>115</v>
      </c>
      <c r="BF232" s="39" t="s">
        <v>118</v>
      </c>
      <c r="BG232" s="23" t="s">
        <v>115</v>
      </c>
      <c r="BH232" s="40"/>
      <c r="BI232" s="25" t="s">
        <v>117</v>
      </c>
      <c r="BJ232" s="40"/>
      <c r="BK232" s="25" t="s">
        <v>117</v>
      </c>
      <c r="BL232" s="40"/>
      <c r="BM232" s="25" t="s">
        <v>117</v>
      </c>
      <c r="BN232" s="40"/>
      <c r="BO232" s="25" t="s">
        <v>117</v>
      </c>
      <c r="BP232" s="40"/>
      <c r="BQ232" s="25" t="s">
        <v>117</v>
      </c>
      <c r="BR232" s="37">
        <v>10000</v>
      </c>
      <c r="BS232" s="25" t="s">
        <v>115</v>
      </c>
      <c r="BT232" s="40"/>
      <c r="BU232" s="25" t="s">
        <v>117</v>
      </c>
      <c r="BV232" s="40"/>
      <c r="BW232" s="25" t="s">
        <v>117</v>
      </c>
      <c r="BX232" s="40"/>
      <c r="BY232" s="25" t="s">
        <v>117</v>
      </c>
      <c r="BZ232" s="46"/>
      <c r="CA232" s="25" t="s">
        <v>117</v>
      </c>
      <c r="CB232" s="45" t="s">
        <v>159</v>
      </c>
      <c r="CC232" s="25" t="s">
        <v>116</v>
      </c>
      <c r="CD232" s="40"/>
      <c r="CE232" s="25" t="s">
        <v>117</v>
      </c>
      <c r="CF232" s="40"/>
      <c r="CG232" s="25" t="s">
        <v>117</v>
      </c>
      <c r="CH232" s="151">
        <v>5000</v>
      </c>
      <c r="CI232" s="25" t="s">
        <v>116</v>
      </c>
      <c r="CJ232" s="151">
        <v>2500</v>
      </c>
      <c r="CK232" s="48" t="s">
        <v>116</v>
      </c>
      <c r="CL232" s="46">
        <v>1500</v>
      </c>
      <c r="CM232" s="48" t="s">
        <v>116</v>
      </c>
      <c r="CN232" s="46">
        <v>1500</v>
      </c>
      <c r="CO232" s="25" t="s">
        <v>116</v>
      </c>
      <c r="CP232" s="30">
        <v>400</v>
      </c>
      <c r="CQ232" s="23" t="s">
        <v>115</v>
      </c>
      <c r="CR232" s="32"/>
      <c r="CS232" s="23" t="s">
        <v>117</v>
      </c>
      <c r="CT232" s="32"/>
      <c r="CU232" s="23" t="s">
        <v>117</v>
      </c>
      <c r="CV232" s="32"/>
      <c r="CW232" s="23" t="s">
        <v>117</v>
      </c>
      <c r="CX232" s="32"/>
      <c r="CY232" s="25" t="s">
        <v>117</v>
      </c>
      <c r="CZ232" s="32"/>
      <c r="DA232" s="25" t="s">
        <v>117</v>
      </c>
      <c r="DB232" s="33" t="s">
        <v>120</v>
      </c>
      <c r="DC232" s="25" t="s">
        <v>116</v>
      </c>
      <c r="DD232" s="34">
        <f>ROUND(0.075*SUM(AD232,AF232,AH232,AJ232,AL232,AN232,AP232,AR232,AT232,AV232,AX232,AZ232,BB232,BR232,BT232,BV232,BX232,BZ232,CB232,CD232,CF232,CJ232,CL232,CN232,CP232,CR232,CT232,CV232,CX232,CZ232),0)</f>
        <v>1193</v>
      </c>
      <c r="DE232" t="s">
        <v>1967</v>
      </c>
      <c r="DF232" t="str">
        <f>A232&amp;"#"&amp;C232&amp;"#"&amp;D232</f>
        <v>Peru#Fund#Peru SA</v>
      </c>
      <c r="DG232" t="b">
        <f>DE232=DF232</f>
        <v>1</v>
      </c>
    </row>
    <row r="233" spans="1:111" ht="78.75" customHeight="1" x14ac:dyDescent="0.35">
      <c r="A233" s="42" t="s">
        <v>1938</v>
      </c>
      <c r="B233" s="35" t="s">
        <v>625</v>
      </c>
      <c r="C233" s="42" t="s">
        <v>141</v>
      </c>
      <c r="D233" s="43" t="s">
        <v>1968</v>
      </c>
      <c r="E233" s="42" t="s">
        <v>90</v>
      </c>
      <c r="F233" s="20" t="s">
        <v>1969</v>
      </c>
      <c r="G233" s="20" t="s">
        <v>1970</v>
      </c>
      <c r="H233" s="20" t="s">
        <v>145</v>
      </c>
      <c r="I233" s="20" t="s">
        <v>146</v>
      </c>
      <c r="J233" s="20" t="s">
        <v>1942</v>
      </c>
      <c r="K233" s="20" t="s">
        <v>96</v>
      </c>
      <c r="L233" s="20" t="s">
        <v>97</v>
      </c>
      <c r="M233" s="20" t="s">
        <v>98</v>
      </c>
      <c r="N233" s="20" t="s">
        <v>147</v>
      </c>
      <c r="O233" s="20" t="s">
        <v>148</v>
      </c>
      <c r="P233" s="20" t="s">
        <v>149</v>
      </c>
      <c r="Q233" s="20" t="s">
        <v>150</v>
      </c>
      <c r="R233" s="20" t="s">
        <v>151</v>
      </c>
      <c r="S233" s="20" t="s">
        <v>152</v>
      </c>
      <c r="T233" s="20" t="s">
        <v>153</v>
      </c>
      <c r="U233" s="20" t="s">
        <v>154</v>
      </c>
      <c r="V233" s="21" t="s">
        <v>292</v>
      </c>
      <c r="W233" s="21" t="s">
        <v>203</v>
      </c>
      <c r="X233" s="21" t="s">
        <v>1971</v>
      </c>
      <c r="Y233" s="21" t="s">
        <v>1972</v>
      </c>
      <c r="Z233" s="21" t="s">
        <v>256</v>
      </c>
      <c r="AA233" s="21" t="s">
        <v>191</v>
      </c>
      <c r="AB233" s="21" t="s">
        <v>1973</v>
      </c>
      <c r="AC233" s="21" t="s">
        <v>1974</v>
      </c>
      <c r="AE233" s="23" t="s">
        <v>115</v>
      </c>
      <c r="AF233" s="44"/>
      <c r="AG233" s="23" t="s">
        <v>116</v>
      </c>
      <c r="AH233" s="44"/>
      <c r="AI233" s="25" t="s">
        <v>117</v>
      </c>
      <c r="AJ233" s="44"/>
      <c r="AK233" s="25" t="s">
        <v>117</v>
      </c>
      <c r="AL233" s="22">
        <v>0</v>
      </c>
      <c r="AM233" s="23" t="s">
        <v>115</v>
      </c>
      <c r="AN233" s="44"/>
      <c r="AO233" s="25" t="s">
        <v>117</v>
      </c>
      <c r="AP233" s="45" t="s">
        <v>118</v>
      </c>
      <c r="AQ233" s="23" t="s">
        <v>115</v>
      </c>
      <c r="AR233" s="46"/>
      <c r="AS233" s="23" t="s">
        <v>117</v>
      </c>
      <c r="AT233" s="45" t="s">
        <v>118</v>
      </c>
      <c r="AU233" s="23" t="s">
        <v>116</v>
      </c>
      <c r="AV233" s="45" t="s">
        <v>118</v>
      </c>
      <c r="AW233" s="23" t="s">
        <v>115</v>
      </c>
      <c r="AX233" s="45" t="s">
        <v>118</v>
      </c>
      <c r="AY233" s="23" t="s">
        <v>115</v>
      </c>
      <c r="AZ233" s="45" t="s">
        <v>118</v>
      </c>
      <c r="BA233" s="23" t="s">
        <v>115</v>
      </c>
      <c r="BB233" s="46"/>
      <c r="BC233" s="23" t="s">
        <v>115</v>
      </c>
      <c r="BD233" s="45" t="s">
        <v>118</v>
      </c>
      <c r="BE233" s="23" t="s">
        <v>115</v>
      </c>
      <c r="BF233" s="45" t="s">
        <v>118</v>
      </c>
      <c r="BG233" s="23" t="s">
        <v>115</v>
      </c>
      <c r="BH233" s="46"/>
      <c r="BI233" s="25" t="s">
        <v>117</v>
      </c>
      <c r="BJ233" s="46"/>
      <c r="BK233" s="25" t="s">
        <v>117</v>
      </c>
      <c r="BL233" s="46"/>
      <c r="BM233" s="25" t="s">
        <v>117</v>
      </c>
      <c r="BN233" s="46"/>
      <c r="BO233" s="25" t="s">
        <v>117</v>
      </c>
      <c r="BP233" s="46"/>
      <c r="BQ233" s="25" t="s">
        <v>117</v>
      </c>
      <c r="BR233" s="47">
        <v>10000</v>
      </c>
      <c r="BS233" s="25" t="s">
        <v>115</v>
      </c>
      <c r="BT233" s="46"/>
      <c r="BU233" s="25" t="s">
        <v>117</v>
      </c>
      <c r="BV233" s="46"/>
      <c r="BW233" s="25" t="s">
        <v>117</v>
      </c>
      <c r="BX233" s="46"/>
      <c r="BY233" s="25" t="s">
        <v>117</v>
      </c>
      <c r="BZ233" s="46"/>
      <c r="CA233" s="25" t="s">
        <v>117</v>
      </c>
      <c r="CB233" s="45" t="s">
        <v>159</v>
      </c>
      <c r="CC233" s="25" t="s">
        <v>116</v>
      </c>
      <c r="CD233" s="46"/>
      <c r="CE233" s="25" t="s">
        <v>117</v>
      </c>
      <c r="CF233" s="46"/>
      <c r="CG233" s="25" t="s">
        <v>117</v>
      </c>
      <c r="CH233" s="151">
        <v>5000</v>
      </c>
      <c r="CI233" s="25" t="s">
        <v>116</v>
      </c>
      <c r="CJ233" s="151">
        <v>2500</v>
      </c>
      <c r="CK233" s="48" t="s">
        <v>116</v>
      </c>
      <c r="CL233" s="46">
        <v>1500</v>
      </c>
      <c r="CM233" s="48" t="s">
        <v>116</v>
      </c>
      <c r="CN233" s="46">
        <v>1500</v>
      </c>
      <c r="CO233" s="25" t="s">
        <v>116</v>
      </c>
      <c r="CP233" s="30">
        <v>400</v>
      </c>
      <c r="CQ233" s="23" t="s">
        <v>115</v>
      </c>
      <c r="CR233" s="32"/>
      <c r="CS233" s="23" t="s">
        <v>117</v>
      </c>
      <c r="CT233" s="32"/>
      <c r="CU233" s="23" t="s">
        <v>117</v>
      </c>
      <c r="CV233" s="32"/>
      <c r="CW233" s="23" t="s">
        <v>117</v>
      </c>
      <c r="CX233" s="32"/>
      <c r="CY233" s="25" t="s">
        <v>117</v>
      </c>
      <c r="CZ233" s="32"/>
      <c r="DA233" s="25" t="s">
        <v>117</v>
      </c>
      <c r="DB233" s="33" t="s">
        <v>120</v>
      </c>
      <c r="DC233" s="25" t="s">
        <v>116</v>
      </c>
      <c r="DD233" s="34">
        <f>ROUND(0.075*SUM(AD233,AF233,AH233,AJ233,AL233,AN233,AP233,AR233,AT233,AV233,AX233,AZ233,BB233,BR233,BT233,BV233,BX233,BZ233,CB233,CD233,CF233,CJ233,CL233,CN233,CP233,CR233,CT233,CV233,CX233,CZ233),0)</f>
        <v>1193</v>
      </c>
      <c r="DE233" t="s">
        <v>1975</v>
      </c>
      <c r="DF233" t="str">
        <f>A233&amp;"#"&amp;C233&amp;"#"&amp;D233</f>
        <v>Peru#Fund#Peru SC</v>
      </c>
      <c r="DG233" t="b">
        <f>DE233=DF233</f>
        <v>1</v>
      </c>
    </row>
    <row r="234" spans="1:111" ht="78.75" hidden="1" customHeight="1" x14ac:dyDescent="0.35">
      <c r="A234" s="184" t="s">
        <v>1976</v>
      </c>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c r="AA234" s="184"/>
      <c r="AB234" s="184"/>
      <c r="AC234" s="184"/>
      <c r="AD234" s="184"/>
      <c r="AE234" s="184"/>
      <c r="AF234" s="184"/>
      <c r="AG234" s="184"/>
      <c r="AH234" s="184"/>
      <c r="AI234" s="184"/>
      <c r="AJ234" s="184"/>
      <c r="AK234" s="184"/>
      <c r="AL234" s="184"/>
      <c r="AM234" s="184"/>
      <c r="AN234" s="184"/>
      <c r="AO234" s="184"/>
      <c r="AP234" s="184"/>
      <c r="AQ234" s="184"/>
      <c r="AR234" s="184"/>
      <c r="AS234" s="184"/>
      <c r="AT234" s="184"/>
      <c r="AU234" s="184"/>
      <c r="AV234" s="184"/>
      <c r="AW234" s="184"/>
      <c r="AX234" s="184"/>
      <c r="AY234" s="184"/>
      <c r="AZ234" s="184"/>
      <c r="BA234" s="184"/>
      <c r="BB234" s="184"/>
      <c r="BC234" s="184"/>
      <c r="BD234" s="184"/>
      <c r="BE234" s="184"/>
      <c r="BF234" s="184"/>
      <c r="BG234" s="184"/>
      <c r="BH234" s="184"/>
      <c r="BI234" s="184"/>
      <c r="BJ234" s="184"/>
      <c r="BK234" s="184"/>
      <c r="BL234" s="184"/>
      <c r="BM234" s="184"/>
      <c r="BN234" s="184"/>
      <c r="BO234" s="184"/>
      <c r="BP234" s="184"/>
      <c r="BQ234" s="184"/>
      <c r="BR234" s="184"/>
      <c r="BS234" s="184"/>
      <c r="BT234" s="184"/>
      <c r="BU234" s="184"/>
      <c r="BV234" s="184"/>
      <c r="BW234" s="184"/>
      <c r="BX234" s="184"/>
      <c r="BY234" s="184"/>
      <c r="BZ234" s="184"/>
      <c r="CA234" s="184"/>
      <c r="CB234" s="184"/>
      <c r="CC234" s="184"/>
      <c r="CD234" s="184"/>
      <c r="CE234" s="184"/>
      <c r="CF234" s="184"/>
      <c r="CG234" s="184"/>
      <c r="CH234" s="184"/>
      <c r="CI234" s="184"/>
      <c r="CJ234" s="184"/>
      <c r="CK234" s="184"/>
      <c r="CL234" s="184"/>
      <c r="CM234" s="184"/>
      <c r="CN234" s="184"/>
      <c r="CO234" s="184"/>
      <c r="CP234" s="184"/>
      <c r="CQ234" s="184"/>
      <c r="CR234" s="184"/>
      <c r="CS234" s="184"/>
      <c r="CT234" s="184"/>
      <c r="CU234" s="184"/>
      <c r="CV234" s="184"/>
      <c r="CW234" s="184"/>
      <c r="CX234" s="184"/>
      <c r="CY234" s="184"/>
      <c r="CZ234" s="184"/>
      <c r="DA234" s="184"/>
      <c r="DB234" s="184"/>
      <c r="DC234" s="184"/>
    </row>
    <row r="235" spans="1:111" ht="43.15" hidden="1" customHeight="1" x14ac:dyDescent="0.35">
      <c r="A235" s="18" t="s">
        <v>1977</v>
      </c>
      <c r="B235" s="18"/>
      <c r="C235" s="18" t="s">
        <v>88</v>
      </c>
      <c r="D235" s="19" t="s">
        <v>1978</v>
      </c>
      <c r="E235" s="18" t="s">
        <v>90</v>
      </c>
      <c r="F235" s="20" t="s">
        <v>1979</v>
      </c>
      <c r="G235" s="20" t="s">
        <v>1980</v>
      </c>
      <c r="H235" s="20" t="s">
        <v>1981</v>
      </c>
      <c r="I235" s="20" t="s">
        <v>1982</v>
      </c>
      <c r="J235" s="20" t="s">
        <v>1983</v>
      </c>
      <c r="K235" s="20" t="s">
        <v>96</v>
      </c>
      <c r="L235" s="20" t="s">
        <v>97</v>
      </c>
      <c r="M235" s="20" t="s">
        <v>98</v>
      </c>
      <c r="N235" s="20" t="s">
        <v>1984</v>
      </c>
      <c r="O235" s="20" t="s">
        <v>1985</v>
      </c>
      <c r="P235" s="20" t="s">
        <v>1986</v>
      </c>
      <c r="Q235" s="20" t="s">
        <v>1987</v>
      </c>
      <c r="R235" s="20" t="s">
        <v>1988</v>
      </c>
      <c r="S235" s="20" t="s">
        <v>1989</v>
      </c>
      <c r="T235" s="20" t="s">
        <v>1990</v>
      </c>
      <c r="U235" s="20" t="s">
        <v>1991</v>
      </c>
      <c r="V235" s="21" t="s">
        <v>518</v>
      </c>
      <c r="W235" s="21" t="s">
        <v>1992</v>
      </c>
      <c r="X235" s="21" t="s">
        <v>1993</v>
      </c>
      <c r="Y235" s="21" t="s">
        <v>1994</v>
      </c>
      <c r="Z235" s="21" t="s">
        <v>256</v>
      </c>
      <c r="AA235" s="21" t="s">
        <v>112</v>
      </c>
      <c r="AB235" s="21" t="s">
        <v>1995</v>
      </c>
      <c r="AC235" s="21" t="s">
        <v>1996</v>
      </c>
      <c r="AD235" s="22">
        <v>18000</v>
      </c>
      <c r="AE235" s="23" t="s">
        <v>115</v>
      </c>
      <c r="AF235" s="24"/>
      <c r="AG235" s="23" t="s">
        <v>117</v>
      </c>
      <c r="AH235" s="24"/>
      <c r="AI235" s="25" t="s">
        <v>117</v>
      </c>
      <c r="AJ235" s="24"/>
      <c r="AK235" s="25" t="s">
        <v>117</v>
      </c>
      <c r="AL235" s="22"/>
      <c r="AM235" s="23" t="s">
        <v>117</v>
      </c>
      <c r="AN235" s="24">
        <v>1000</v>
      </c>
      <c r="AO235" s="25" t="s">
        <v>116</v>
      </c>
      <c r="AP235" s="26">
        <v>5000</v>
      </c>
      <c r="AQ235" s="23" t="s">
        <v>116</v>
      </c>
      <c r="AR235" s="24"/>
      <c r="AS235" s="23" t="s">
        <v>117</v>
      </c>
      <c r="AT235" s="27"/>
      <c r="AU235" s="23" t="s">
        <v>117</v>
      </c>
      <c r="AV235" s="22"/>
      <c r="AW235" s="23" t="s">
        <v>117</v>
      </c>
      <c r="AX235" s="22"/>
      <c r="AY235" s="23" t="s">
        <v>117</v>
      </c>
      <c r="AZ235" s="26">
        <v>13000</v>
      </c>
      <c r="BA235" s="23" t="s">
        <v>116</v>
      </c>
      <c r="BB235" s="24"/>
      <c r="BC235" s="23" t="s">
        <v>117</v>
      </c>
      <c r="BD235" s="27"/>
      <c r="BE235" s="23" t="s">
        <v>117</v>
      </c>
      <c r="BF235" s="27">
        <v>1000</v>
      </c>
      <c r="BG235" s="23" t="s">
        <v>116</v>
      </c>
      <c r="BH235" s="28"/>
      <c r="BI235" s="25" t="s">
        <v>117</v>
      </c>
      <c r="BJ235" s="28">
        <v>2750</v>
      </c>
      <c r="BK235" s="25" t="s">
        <v>116</v>
      </c>
      <c r="BL235" s="28"/>
      <c r="BM235" s="25" t="s">
        <v>117</v>
      </c>
      <c r="BN235" s="28"/>
      <c r="BO235" s="25" t="s">
        <v>117</v>
      </c>
      <c r="BP235" s="28"/>
      <c r="BQ235" s="25" t="s">
        <v>117</v>
      </c>
      <c r="BR235" s="28"/>
      <c r="BS235" s="25" t="s">
        <v>117</v>
      </c>
      <c r="BT235" s="28"/>
      <c r="BU235" s="25" t="s">
        <v>117</v>
      </c>
      <c r="BV235" s="28"/>
      <c r="BW235" s="25" t="s">
        <v>117</v>
      </c>
      <c r="BX235" s="28"/>
      <c r="BY235" s="25" t="s">
        <v>117</v>
      </c>
      <c r="BZ235" s="28"/>
      <c r="CA235" s="25" t="s">
        <v>117</v>
      </c>
      <c r="CB235" s="28"/>
      <c r="CC235" s="25" t="s">
        <v>117</v>
      </c>
      <c r="CD235" s="28"/>
      <c r="CE235" s="25" t="s">
        <v>117</v>
      </c>
      <c r="CF235" s="28"/>
      <c r="CG235" s="25" t="s">
        <v>117</v>
      </c>
      <c r="CH235" s="28"/>
      <c r="CI235" s="25"/>
      <c r="CJ235" s="28"/>
      <c r="CK235" s="29" t="s">
        <v>117</v>
      </c>
      <c r="CL235" s="28"/>
      <c r="CM235" s="29" t="s">
        <v>117</v>
      </c>
      <c r="CN235" s="28"/>
      <c r="CO235" s="25" t="s">
        <v>117</v>
      </c>
      <c r="CP235" s="30"/>
      <c r="CQ235" s="23" t="s">
        <v>117</v>
      </c>
      <c r="CR235" s="30"/>
      <c r="CS235" s="23" t="s">
        <v>117</v>
      </c>
      <c r="CT235" s="30"/>
      <c r="CU235" s="23" t="s">
        <v>117</v>
      </c>
      <c r="CV235" s="31"/>
      <c r="CW235" s="23" t="s">
        <v>117</v>
      </c>
      <c r="CX235" s="32"/>
      <c r="CY235" s="25" t="s">
        <v>117</v>
      </c>
      <c r="CZ235" s="32"/>
      <c r="DA235" s="25" t="s">
        <v>117</v>
      </c>
      <c r="DB235" s="33"/>
      <c r="DC235" s="25" t="s">
        <v>117</v>
      </c>
      <c r="DD235" s="34">
        <f>ROUND(0.075*SUM(AD235,AF235,AH235,AJ235,AL235,AN235,AP235,AR235,AT235,AV235,AX235,AZ235,BB235,BR235,BT235,BV235,BX235,BZ235,CB235,CD235,CF235,CJ235,CL235,CN235,CP235,CR235,CT235,CV235,CX235,CZ235),0)</f>
        <v>2775</v>
      </c>
      <c r="DE235" t="s">
        <v>1997</v>
      </c>
      <c r="DF235" t="str">
        <f>A235&amp;"#"&amp;C235&amp;"#"&amp;D235</f>
        <v>Saudi Arabia#Company#Saudi Arabia LLC</v>
      </c>
      <c r="DG235" t="b">
        <f>DE235=DF235</f>
        <v>1</v>
      </c>
    </row>
    <row r="236" spans="1:111" ht="71.25" hidden="1" customHeight="1" x14ac:dyDescent="0.35">
      <c r="A236" s="184" t="s">
        <v>1998</v>
      </c>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c r="AA236" s="184"/>
      <c r="AB236" s="184"/>
      <c r="AC236" s="184"/>
      <c r="AD236" s="184"/>
      <c r="AE236" s="184"/>
      <c r="AF236" s="184"/>
      <c r="AG236" s="184"/>
      <c r="AH236" s="184"/>
      <c r="AI236" s="184"/>
      <c r="AJ236" s="184"/>
      <c r="AK236" s="184"/>
      <c r="AL236" s="184"/>
      <c r="AM236" s="184"/>
      <c r="AN236" s="184"/>
      <c r="AO236" s="184"/>
      <c r="AP236" s="184"/>
      <c r="AQ236" s="184"/>
      <c r="AR236" s="184"/>
      <c r="AS236" s="184"/>
      <c r="AT236" s="184"/>
      <c r="AU236" s="184"/>
      <c r="AV236" s="184"/>
      <c r="AW236" s="184"/>
      <c r="AX236" s="184"/>
      <c r="AY236" s="184"/>
      <c r="AZ236" s="184"/>
      <c r="BA236" s="184"/>
      <c r="BB236" s="184"/>
      <c r="BC236" s="184"/>
      <c r="BD236" s="184"/>
      <c r="BE236" s="184"/>
      <c r="BF236" s="184"/>
      <c r="BG236" s="184"/>
      <c r="BH236" s="184"/>
      <c r="BI236" s="184"/>
      <c r="BJ236" s="184"/>
      <c r="BK236" s="184"/>
      <c r="BL236" s="184"/>
      <c r="BM236" s="184"/>
      <c r="BN236" s="184"/>
      <c r="BO236" s="184"/>
      <c r="BP236" s="184"/>
      <c r="BQ236" s="184"/>
      <c r="BR236" s="184"/>
      <c r="BS236" s="184"/>
      <c r="BT236" s="184"/>
      <c r="BU236" s="184"/>
      <c r="BV236" s="184"/>
      <c r="BW236" s="184"/>
      <c r="BX236" s="184"/>
      <c r="BY236" s="184"/>
      <c r="BZ236" s="184"/>
      <c r="CA236" s="184"/>
      <c r="CB236" s="184"/>
      <c r="CC236" s="184"/>
      <c r="CD236" s="184"/>
      <c r="CE236" s="184"/>
      <c r="CF236" s="184"/>
      <c r="CG236" s="184"/>
      <c r="CH236" s="184"/>
      <c r="CI236" s="184"/>
      <c r="CJ236" s="184"/>
      <c r="CK236" s="184"/>
      <c r="CL236" s="184"/>
      <c r="CM236" s="184"/>
      <c r="CN236" s="184"/>
      <c r="CO236" s="184"/>
      <c r="CP236" s="184"/>
      <c r="CQ236" s="184"/>
      <c r="CR236" s="184"/>
      <c r="CS236" s="184"/>
      <c r="CT236" s="184"/>
      <c r="CU236" s="184"/>
      <c r="CV236" s="184"/>
      <c r="CW236" s="184"/>
      <c r="CX236" s="184"/>
      <c r="CY236" s="184"/>
      <c r="CZ236" s="184"/>
      <c r="DA236" s="184"/>
      <c r="DB236" s="184"/>
      <c r="DC236" s="184"/>
      <c r="DE236" t="s">
        <v>85</v>
      </c>
      <c r="DF236" t="str">
        <f>A219&amp;"#"&amp;C219&amp;"#"&amp;D219</f>
        <v>New Zealand#Limited Partnership#New Zealand Limited Partnership</v>
      </c>
    </row>
    <row r="237" spans="1:111" ht="71.25" hidden="1" customHeight="1" x14ac:dyDescent="0.35">
      <c r="A237" s="18" t="s">
        <v>1999</v>
      </c>
      <c r="B237" s="18" t="s">
        <v>1612</v>
      </c>
      <c r="C237" s="18" t="s">
        <v>88</v>
      </c>
      <c r="D237" s="19" t="s">
        <v>2000</v>
      </c>
      <c r="E237" s="18" t="s">
        <v>90</v>
      </c>
      <c r="F237" s="20" t="s">
        <v>2001</v>
      </c>
      <c r="G237" s="20" t="s">
        <v>2002</v>
      </c>
      <c r="H237" s="20" t="s">
        <v>93</v>
      </c>
      <c r="I237" s="20" t="s">
        <v>94</v>
      </c>
      <c r="J237" s="20" t="s">
        <v>2003</v>
      </c>
      <c r="K237" s="20" t="s">
        <v>96</v>
      </c>
      <c r="L237" s="20" t="s">
        <v>97</v>
      </c>
      <c r="M237" s="20" t="s">
        <v>98</v>
      </c>
      <c r="N237" s="20" t="s">
        <v>2004</v>
      </c>
      <c r="O237" s="20" t="s">
        <v>100</v>
      </c>
      <c r="P237" s="20" t="s">
        <v>101</v>
      </c>
      <c r="Q237" s="20" t="s">
        <v>102</v>
      </c>
      <c r="R237" s="20" t="s">
        <v>103</v>
      </c>
      <c r="S237" s="20" t="s">
        <v>104</v>
      </c>
      <c r="T237" s="20" t="s">
        <v>105</v>
      </c>
      <c r="U237" s="20" t="s">
        <v>106</v>
      </c>
      <c r="V237" s="21" t="s">
        <v>107</v>
      </c>
      <c r="W237" s="21" t="s">
        <v>108</v>
      </c>
      <c r="X237" s="21" t="s">
        <v>109</v>
      </c>
      <c r="Y237" s="21" t="s">
        <v>2005</v>
      </c>
      <c r="Z237" s="21" t="s">
        <v>111</v>
      </c>
      <c r="AA237" s="21" t="s">
        <v>112</v>
      </c>
      <c r="AB237" s="21" t="s">
        <v>2006</v>
      </c>
      <c r="AC237" s="21" t="s">
        <v>2007</v>
      </c>
      <c r="AD237" s="22">
        <v>1070</v>
      </c>
      <c r="AE237" s="23" t="s">
        <v>115</v>
      </c>
      <c r="AF237" s="24"/>
      <c r="AG237" s="23" t="s">
        <v>116</v>
      </c>
      <c r="AH237" s="24"/>
      <c r="AI237" s="25" t="s">
        <v>117</v>
      </c>
      <c r="AJ237" s="24"/>
      <c r="AK237" s="25" t="s">
        <v>117</v>
      </c>
      <c r="AL237" s="22">
        <v>0</v>
      </c>
      <c r="AM237" s="23" t="s">
        <v>115</v>
      </c>
      <c r="AN237" s="24"/>
      <c r="AO237" s="25" t="s">
        <v>117</v>
      </c>
      <c r="AP237" s="22">
        <v>730</v>
      </c>
      <c r="AQ237" s="23" t="s">
        <v>115</v>
      </c>
      <c r="AR237" s="24"/>
      <c r="AS237" s="23" t="s">
        <v>117</v>
      </c>
      <c r="AT237" s="22">
        <v>730</v>
      </c>
      <c r="AU237" s="23" t="s">
        <v>116</v>
      </c>
      <c r="AV237" s="22">
        <v>1070</v>
      </c>
      <c r="AW237" s="23" t="s">
        <v>115</v>
      </c>
      <c r="AX237" s="27" t="s">
        <v>118</v>
      </c>
      <c r="AY237" s="23" t="s">
        <v>115</v>
      </c>
      <c r="AZ237" s="22">
        <v>105</v>
      </c>
      <c r="BA237" s="23" t="s">
        <v>115</v>
      </c>
      <c r="BB237" s="24"/>
      <c r="BC237" s="23" t="s">
        <v>115</v>
      </c>
      <c r="BD237" s="27" t="s">
        <v>118</v>
      </c>
      <c r="BE237" s="23" t="s">
        <v>115</v>
      </c>
      <c r="BF237" s="27" t="s">
        <v>118</v>
      </c>
      <c r="BG237" s="23" t="s">
        <v>115</v>
      </c>
      <c r="BH237" s="28"/>
      <c r="BI237" s="25" t="s">
        <v>117</v>
      </c>
      <c r="BJ237" s="28"/>
      <c r="BK237" s="25" t="s">
        <v>117</v>
      </c>
      <c r="BL237" s="28"/>
      <c r="BM237" s="25" t="s">
        <v>117</v>
      </c>
      <c r="BN237" s="28"/>
      <c r="BO237" s="25" t="s">
        <v>117</v>
      </c>
      <c r="BP237" s="28"/>
      <c r="BQ237" s="25" t="s">
        <v>117</v>
      </c>
      <c r="BR237" s="28"/>
      <c r="BS237" s="25" t="s">
        <v>117</v>
      </c>
      <c r="BT237" s="28"/>
      <c r="BU237" s="25" t="s">
        <v>117</v>
      </c>
      <c r="BV237" s="28"/>
      <c r="BW237" s="25" t="s">
        <v>117</v>
      </c>
      <c r="BX237" s="28"/>
      <c r="BY237" s="25" t="s">
        <v>117</v>
      </c>
      <c r="BZ237" s="28"/>
      <c r="CA237" s="25" t="s">
        <v>117</v>
      </c>
      <c r="CB237" s="28"/>
      <c r="CC237" s="25" t="s">
        <v>117</v>
      </c>
      <c r="CD237" s="28"/>
      <c r="CE237" s="25" t="s">
        <v>117</v>
      </c>
      <c r="CF237" s="28"/>
      <c r="CG237" s="25" t="s">
        <v>117</v>
      </c>
      <c r="CH237" s="28"/>
      <c r="CI237" s="25"/>
      <c r="CJ237" s="28"/>
      <c r="CK237" s="29" t="s">
        <v>117</v>
      </c>
      <c r="CL237" s="28"/>
      <c r="CM237" s="29" t="s">
        <v>117</v>
      </c>
      <c r="CN237" s="28"/>
      <c r="CO237" s="25" t="s">
        <v>117</v>
      </c>
      <c r="CP237" s="30">
        <v>400</v>
      </c>
      <c r="CQ237" s="23" t="s">
        <v>115</v>
      </c>
      <c r="CR237" s="32"/>
      <c r="CS237" s="23" t="s">
        <v>117</v>
      </c>
      <c r="CT237" s="32"/>
      <c r="CU237" s="23" t="s">
        <v>117</v>
      </c>
      <c r="CV237" s="32"/>
      <c r="CW237" s="23" t="s">
        <v>117</v>
      </c>
      <c r="CX237" s="32"/>
      <c r="CY237" s="25" t="s">
        <v>117</v>
      </c>
      <c r="CZ237" s="32"/>
      <c r="DA237" s="25" t="s">
        <v>117</v>
      </c>
      <c r="DB237" s="33" t="s">
        <v>120</v>
      </c>
      <c r="DC237" s="25" t="s">
        <v>116</v>
      </c>
      <c r="DD237" s="34">
        <f>ROUND(0.075*SUM(AD237,AF237,AH237,AJ237,AL237,AN237,AP237,AR237,AT237,AV237,AX237,AZ237,BB237,BR237,BT237,BV237,BX237,BZ237,CB237,CD237,CF237,CJ237,CL237,CN237,CP237,CR237,CT237,CV237,CX237,CZ237),0)</f>
        <v>308</v>
      </c>
      <c r="DE237" t="s">
        <v>2008</v>
      </c>
      <c r="DF237" t="str">
        <f>A237&amp;"#"&amp;C237&amp;"#"&amp;D237</f>
        <v>Seychelles#Company#Seychelles SYIBC</v>
      </c>
      <c r="DG237" t="b">
        <f>DE237=DF237</f>
        <v>1</v>
      </c>
    </row>
    <row r="238" spans="1:111" ht="71.25" hidden="1" customHeight="1" x14ac:dyDescent="0.35">
      <c r="A238" s="184" t="s">
        <v>2009</v>
      </c>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c r="AA238" s="184"/>
      <c r="AB238" s="184"/>
      <c r="AC238" s="184"/>
      <c r="AD238" s="184"/>
      <c r="AE238" s="184"/>
      <c r="AF238" s="184"/>
      <c r="AG238" s="184"/>
      <c r="AH238" s="184"/>
      <c r="AI238" s="184"/>
      <c r="AJ238" s="184"/>
      <c r="AK238" s="184"/>
      <c r="AL238" s="184"/>
      <c r="AM238" s="184"/>
      <c r="AN238" s="184"/>
      <c r="AO238" s="184"/>
      <c r="AP238" s="184"/>
      <c r="AQ238" s="184"/>
      <c r="AR238" s="184"/>
      <c r="AS238" s="184"/>
      <c r="AT238" s="184"/>
      <c r="AU238" s="184"/>
      <c r="AV238" s="184"/>
      <c r="AW238" s="184"/>
      <c r="AX238" s="184"/>
      <c r="AY238" s="184"/>
      <c r="AZ238" s="184"/>
      <c r="BA238" s="184"/>
      <c r="BB238" s="184"/>
      <c r="BC238" s="184"/>
      <c r="BD238" s="184"/>
      <c r="BE238" s="184"/>
      <c r="BF238" s="184"/>
      <c r="BG238" s="184"/>
      <c r="BH238" s="184"/>
      <c r="BI238" s="184"/>
      <c r="BJ238" s="184"/>
      <c r="BK238" s="184"/>
      <c r="BL238" s="184"/>
      <c r="BM238" s="184"/>
      <c r="BN238" s="184"/>
      <c r="BO238" s="184"/>
      <c r="BP238" s="184"/>
      <c r="BQ238" s="184"/>
      <c r="BR238" s="184"/>
      <c r="BS238" s="184"/>
      <c r="BT238" s="184"/>
      <c r="BU238" s="184"/>
      <c r="BV238" s="184"/>
      <c r="BW238" s="184"/>
      <c r="BX238" s="184"/>
      <c r="BY238" s="184"/>
      <c r="BZ238" s="184"/>
      <c r="CA238" s="184"/>
      <c r="CB238" s="184"/>
      <c r="CC238" s="184"/>
      <c r="CD238" s="184"/>
      <c r="CE238" s="184"/>
      <c r="CF238" s="184"/>
      <c r="CG238" s="184"/>
      <c r="CH238" s="184"/>
      <c r="CI238" s="184"/>
      <c r="CJ238" s="184"/>
      <c r="CK238" s="184"/>
      <c r="CL238" s="184"/>
      <c r="CM238" s="184"/>
      <c r="CN238" s="184"/>
      <c r="CO238" s="184"/>
      <c r="CP238" s="184"/>
      <c r="CQ238" s="184"/>
      <c r="CR238" s="184"/>
      <c r="CS238" s="184"/>
      <c r="CT238" s="184"/>
      <c r="CU238" s="184"/>
      <c r="CV238" s="184"/>
      <c r="CW238" s="184"/>
      <c r="CX238" s="184"/>
      <c r="CY238" s="184"/>
      <c r="CZ238" s="184"/>
      <c r="DA238" s="184"/>
      <c r="DB238" s="184"/>
      <c r="DC238" s="184"/>
      <c r="DE238" t="s">
        <v>85</v>
      </c>
      <c r="DF238" t="str">
        <f>A221&amp;"#"&amp;C221&amp;"#"&amp;D221</f>
        <v>New Zealand#Trust#New Zealand Escrow Agent</v>
      </c>
    </row>
    <row r="239" spans="1:111" ht="78.75" hidden="1" customHeight="1" x14ac:dyDescent="0.35">
      <c r="A239" s="18" t="s">
        <v>2010</v>
      </c>
      <c r="B239" s="18" t="s">
        <v>1379</v>
      </c>
      <c r="C239" s="18" t="s">
        <v>88</v>
      </c>
      <c r="D239" s="19" t="s">
        <v>2011</v>
      </c>
      <c r="E239" s="18" t="s">
        <v>2012</v>
      </c>
      <c r="F239" s="20" t="s">
        <v>143</v>
      </c>
      <c r="G239" s="20" t="s">
        <v>2013</v>
      </c>
      <c r="H239" s="20" t="s">
        <v>93</v>
      </c>
      <c r="I239" s="20" t="s">
        <v>94</v>
      </c>
      <c r="J239" s="20" t="s">
        <v>2014</v>
      </c>
      <c r="K239" s="20" t="s">
        <v>96</v>
      </c>
      <c r="L239" s="20" t="s">
        <v>97</v>
      </c>
      <c r="M239" s="20" t="s">
        <v>98</v>
      </c>
      <c r="N239" s="20" t="s">
        <v>2015</v>
      </c>
      <c r="O239" s="20" t="s">
        <v>100</v>
      </c>
      <c r="P239" s="20" t="s">
        <v>101</v>
      </c>
      <c r="Q239" s="20" t="s">
        <v>102</v>
      </c>
      <c r="R239" s="20" t="s">
        <v>103</v>
      </c>
      <c r="S239" s="20" t="s">
        <v>104</v>
      </c>
      <c r="T239" s="20" t="s">
        <v>105</v>
      </c>
      <c r="U239" s="20" t="s">
        <v>106</v>
      </c>
      <c r="V239" s="21" t="s">
        <v>243</v>
      </c>
      <c r="W239" s="21" t="s">
        <v>2016</v>
      </c>
      <c r="X239" s="21" t="s">
        <v>109</v>
      </c>
      <c r="Y239" s="21" t="s">
        <v>2017</v>
      </c>
      <c r="Z239" s="21" t="s">
        <v>256</v>
      </c>
      <c r="AA239" s="21" t="s">
        <v>112</v>
      </c>
      <c r="AB239" s="21" t="s">
        <v>2018</v>
      </c>
      <c r="AC239" s="21" t="s">
        <v>2019</v>
      </c>
      <c r="AD239" s="22">
        <v>1440</v>
      </c>
      <c r="AE239" s="23" t="s">
        <v>115</v>
      </c>
      <c r="AF239" s="24"/>
      <c r="AG239" s="23" t="s">
        <v>116</v>
      </c>
      <c r="AH239" s="24"/>
      <c r="AI239" s="25" t="s">
        <v>117</v>
      </c>
      <c r="AJ239" s="24"/>
      <c r="AK239" s="25" t="s">
        <v>117</v>
      </c>
      <c r="AL239" s="22">
        <v>0</v>
      </c>
      <c r="AM239" s="23" t="s">
        <v>115</v>
      </c>
      <c r="AN239" s="24"/>
      <c r="AO239" s="25" t="s">
        <v>117</v>
      </c>
      <c r="AP239" s="27" t="s">
        <v>118</v>
      </c>
      <c r="AQ239" s="23" t="s">
        <v>115</v>
      </c>
      <c r="AR239" s="28"/>
      <c r="AS239" s="23" t="s">
        <v>117</v>
      </c>
      <c r="AT239" s="27" t="s">
        <v>118</v>
      </c>
      <c r="AU239" s="23" t="s">
        <v>116</v>
      </c>
      <c r="AV239" s="22">
        <v>900</v>
      </c>
      <c r="AW239" s="23" t="s">
        <v>115</v>
      </c>
      <c r="AX239" s="22">
        <v>1090</v>
      </c>
      <c r="AY239" s="23" t="s">
        <v>115</v>
      </c>
      <c r="AZ239" s="27" t="s">
        <v>118</v>
      </c>
      <c r="BA239" s="23" t="s">
        <v>115</v>
      </c>
      <c r="BB239" s="28"/>
      <c r="BC239" s="23" t="s">
        <v>115</v>
      </c>
      <c r="BD239" s="22">
        <v>550</v>
      </c>
      <c r="BE239" s="23" t="s">
        <v>115</v>
      </c>
      <c r="BF239" s="22">
        <v>375</v>
      </c>
      <c r="BG239" s="23" t="s">
        <v>115</v>
      </c>
      <c r="BH239" s="24"/>
      <c r="BI239" s="25" t="s">
        <v>117</v>
      </c>
      <c r="BJ239" s="24"/>
      <c r="BK239" s="25" t="s">
        <v>117</v>
      </c>
      <c r="BL239" s="24"/>
      <c r="BM239" s="25" t="s">
        <v>117</v>
      </c>
      <c r="BN239" s="24"/>
      <c r="BO239" s="25" t="s">
        <v>117</v>
      </c>
      <c r="BP239" s="24"/>
      <c r="BQ239" s="25" t="s">
        <v>117</v>
      </c>
      <c r="BR239" s="24"/>
      <c r="BS239" s="25" t="s">
        <v>117</v>
      </c>
      <c r="BT239" s="24"/>
      <c r="BU239" s="25" t="s">
        <v>117</v>
      </c>
      <c r="BV239" s="24"/>
      <c r="BW239" s="25" t="s">
        <v>117</v>
      </c>
      <c r="BX239" s="24"/>
      <c r="BY239" s="25" t="s">
        <v>117</v>
      </c>
      <c r="BZ239" s="24"/>
      <c r="CA239" s="25" t="s">
        <v>117</v>
      </c>
      <c r="CB239" s="24"/>
      <c r="CC239" s="25" t="s">
        <v>117</v>
      </c>
      <c r="CD239" s="24"/>
      <c r="CE239" s="25" t="s">
        <v>117</v>
      </c>
      <c r="CF239" s="24"/>
      <c r="CG239" s="25" t="s">
        <v>117</v>
      </c>
      <c r="CH239" s="24"/>
      <c r="CI239" s="25"/>
      <c r="CJ239" s="24"/>
      <c r="CK239" s="29" t="s">
        <v>117</v>
      </c>
      <c r="CL239" s="24"/>
      <c r="CM239" s="29" t="s">
        <v>117</v>
      </c>
      <c r="CN239" s="24"/>
      <c r="CO239" s="25" t="s">
        <v>117</v>
      </c>
      <c r="CP239" s="30">
        <v>400</v>
      </c>
      <c r="CQ239" s="23" t="s">
        <v>115</v>
      </c>
      <c r="CR239" s="32"/>
      <c r="CS239" s="23" t="s">
        <v>117</v>
      </c>
      <c r="CT239" s="32"/>
      <c r="CU239" s="23" t="s">
        <v>117</v>
      </c>
      <c r="CV239" s="32"/>
      <c r="CW239" s="23" t="s">
        <v>117</v>
      </c>
      <c r="CX239" s="32"/>
      <c r="CY239" s="25" t="s">
        <v>117</v>
      </c>
      <c r="CZ239" s="32"/>
      <c r="DA239" s="25" t="s">
        <v>117</v>
      </c>
      <c r="DB239" s="33" t="s">
        <v>120</v>
      </c>
      <c r="DC239" s="25" t="s">
        <v>116</v>
      </c>
      <c r="DD239" s="34">
        <f>ROUND(0.075*SUM(AD239,AF239,AH239,AJ239,AL239,AN239,AP239,AR239,AT239,AV239,AX239,AZ239,BB239,BR239,BT239,BV239,BX239,BZ239,CB239,CD239,CF239,CJ239,CL239,CN239,CP239,CR239,CT239,CV239,CX239,CZ239),0)</f>
        <v>287</v>
      </c>
      <c r="DE239" t="s">
        <v>2020</v>
      </c>
      <c r="DF239" t="str">
        <f>A239&amp;"#"&amp;C239&amp;"#"&amp;D239</f>
        <v>Scotland#Company#Scotland Ltd</v>
      </c>
      <c r="DG239" t="b">
        <f>DE239=DF239</f>
        <v>1</v>
      </c>
    </row>
    <row r="240" spans="1:111" ht="78.75" hidden="1" customHeight="1" x14ac:dyDescent="0.35">
      <c r="A240" s="18" t="s">
        <v>2010</v>
      </c>
      <c r="B240" s="18" t="s">
        <v>1379</v>
      </c>
      <c r="C240" s="18" t="s">
        <v>460</v>
      </c>
      <c r="D240" s="19" t="s">
        <v>2021</v>
      </c>
      <c r="E240" s="18" t="s">
        <v>2012</v>
      </c>
      <c r="F240" s="20" t="s">
        <v>2022</v>
      </c>
      <c r="G240" s="20" t="s">
        <v>2023</v>
      </c>
      <c r="H240" s="20" t="s">
        <v>2024</v>
      </c>
      <c r="I240" s="20" t="s">
        <v>2025</v>
      </c>
      <c r="J240" s="20" t="s">
        <v>2014</v>
      </c>
      <c r="K240" s="20" t="s">
        <v>96</v>
      </c>
      <c r="L240" s="20" t="s">
        <v>97</v>
      </c>
      <c r="M240" s="20" t="s">
        <v>98</v>
      </c>
      <c r="N240" s="20" t="s">
        <v>2026</v>
      </c>
      <c r="O240" s="20" t="s">
        <v>2027</v>
      </c>
      <c r="P240" s="20" t="s">
        <v>2028</v>
      </c>
      <c r="Q240" s="20" t="s">
        <v>2029</v>
      </c>
      <c r="R240" s="20" t="s">
        <v>2030</v>
      </c>
      <c r="S240" s="20" t="s">
        <v>2031</v>
      </c>
      <c r="T240" s="20" t="s">
        <v>2032</v>
      </c>
      <c r="U240" s="20" t="s">
        <v>2033</v>
      </c>
      <c r="V240" s="21" t="s">
        <v>2034</v>
      </c>
      <c r="W240" s="21" t="s">
        <v>2035</v>
      </c>
      <c r="X240" s="21" t="s">
        <v>2036</v>
      </c>
      <c r="Y240" s="21" t="s">
        <v>2037</v>
      </c>
      <c r="Z240" s="21" t="s">
        <v>2038</v>
      </c>
      <c r="AA240" s="21" t="s">
        <v>2039</v>
      </c>
      <c r="AB240" s="21" t="s">
        <v>2040</v>
      </c>
      <c r="AC240" s="21" t="s">
        <v>2041</v>
      </c>
      <c r="AD240" s="22">
        <v>1440</v>
      </c>
      <c r="AE240" s="23" t="s">
        <v>116</v>
      </c>
      <c r="AF240" s="24"/>
      <c r="AG240" s="23" t="s">
        <v>117</v>
      </c>
      <c r="AH240" s="24"/>
      <c r="AI240" s="25" t="s">
        <v>117</v>
      </c>
      <c r="AJ240" s="24"/>
      <c r="AK240" s="25" t="s">
        <v>117</v>
      </c>
      <c r="AL240" s="22"/>
      <c r="AM240" s="23" t="s">
        <v>117</v>
      </c>
      <c r="AN240" s="24">
        <v>770</v>
      </c>
      <c r="AO240" s="25" t="s">
        <v>116</v>
      </c>
      <c r="AP240" s="26"/>
      <c r="AQ240" s="23" t="s">
        <v>117</v>
      </c>
      <c r="AR240" s="24"/>
      <c r="AS240" s="23" t="s">
        <v>117</v>
      </c>
      <c r="AT240" s="27"/>
      <c r="AU240" s="23" t="s">
        <v>117</v>
      </c>
      <c r="AV240" s="22">
        <v>900</v>
      </c>
      <c r="AW240" s="23" t="s">
        <v>116</v>
      </c>
      <c r="AX240" s="22">
        <v>1090</v>
      </c>
      <c r="AY240" s="23" t="s">
        <v>116</v>
      </c>
      <c r="AZ240" s="26"/>
      <c r="BA240" s="23" t="s">
        <v>117</v>
      </c>
      <c r="BB240" s="24"/>
      <c r="BC240" s="23" t="s">
        <v>117</v>
      </c>
      <c r="BD240" s="27">
        <v>550</v>
      </c>
      <c r="BE240" s="23" t="s">
        <v>116</v>
      </c>
      <c r="BF240" s="27">
        <v>375</v>
      </c>
      <c r="BG240" s="23" t="s">
        <v>116</v>
      </c>
      <c r="BH240" s="28"/>
      <c r="BI240" s="25" t="s">
        <v>117</v>
      </c>
      <c r="BJ240" s="28"/>
      <c r="BK240" s="25" t="s">
        <v>117</v>
      </c>
      <c r="BL240" s="28"/>
      <c r="BM240" s="25" t="s">
        <v>117</v>
      </c>
      <c r="BN240" s="28"/>
      <c r="BO240" s="25" t="s">
        <v>117</v>
      </c>
      <c r="BP240" s="28"/>
      <c r="BQ240" s="25" t="s">
        <v>117</v>
      </c>
      <c r="BR240" s="28"/>
      <c r="BS240" s="25" t="s">
        <v>117</v>
      </c>
      <c r="BT240" s="28"/>
      <c r="BU240" s="25" t="s">
        <v>117</v>
      </c>
      <c r="BV240" s="28"/>
      <c r="BW240" s="25" t="s">
        <v>117</v>
      </c>
      <c r="BX240" s="28"/>
      <c r="BY240" s="25" t="s">
        <v>117</v>
      </c>
      <c r="BZ240" s="28"/>
      <c r="CA240" s="25" t="s">
        <v>117</v>
      </c>
      <c r="CB240" s="28"/>
      <c r="CC240" s="25" t="s">
        <v>117</v>
      </c>
      <c r="CD240" s="28"/>
      <c r="CE240" s="25" t="s">
        <v>117</v>
      </c>
      <c r="CF240" s="28"/>
      <c r="CG240" s="25" t="s">
        <v>117</v>
      </c>
      <c r="CH240" s="28"/>
      <c r="CI240" s="25"/>
      <c r="CJ240" s="28"/>
      <c r="CK240" s="29" t="s">
        <v>117</v>
      </c>
      <c r="CL240" s="28"/>
      <c r="CM240" s="29" t="s">
        <v>117</v>
      </c>
      <c r="CN240" s="28"/>
      <c r="CO240" s="25" t="s">
        <v>117</v>
      </c>
      <c r="CP240" s="30"/>
      <c r="CQ240" s="23" t="s">
        <v>117</v>
      </c>
      <c r="CR240" s="30"/>
      <c r="CS240" s="23" t="s">
        <v>117</v>
      </c>
      <c r="CT240" s="30"/>
      <c r="CU240" s="23" t="s">
        <v>117</v>
      </c>
      <c r="CV240" s="31"/>
      <c r="CW240" s="23" t="s">
        <v>117</v>
      </c>
      <c r="CX240" s="32"/>
      <c r="CY240" s="25" t="s">
        <v>117</v>
      </c>
      <c r="CZ240" s="32"/>
      <c r="DA240" s="25" t="s">
        <v>117</v>
      </c>
      <c r="DB240" s="33"/>
      <c r="DC240" s="25" t="s">
        <v>117</v>
      </c>
      <c r="DD240" s="34">
        <f>ROUND(0.075*SUM(AD240,AF240,AH240,AJ240,AL240,AN240,AP240,AR240,AT240,AV240,AX240,AZ240,BB240,BR240,BT240,BV240,BX240,BZ240,CB240,CD240,CF240,CJ240,CL240,CN240,CP240,CR240,CT240,CV240,CX240,CZ240),0)</f>
        <v>315</v>
      </c>
      <c r="DE240" t="s">
        <v>2042</v>
      </c>
      <c r="DF240" t="str">
        <f>A240&amp;"#"&amp;C240&amp;"#"&amp;D240</f>
        <v>Scotland#Partnership#Scotland LLP</v>
      </c>
      <c r="DG240" t="b">
        <f>DE240=DF240</f>
        <v>1</v>
      </c>
    </row>
    <row r="241" spans="1:111" ht="78.75" hidden="1" customHeight="1" x14ac:dyDescent="0.35">
      <c r="A241" s="184" t="s">
        <v>2043</v>
      </c>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c r="AA241" s="184"/>
      <c r="AB241" s="184"/>
      <c r="AC241" s="184"/>
      <c r="AD241" s="184"/>
      <c r="AE241" s="184"/>
      <c r="AF241" s="184"/>
      <c r="AG241" s="184"/>
      <c r="AH241" s="184"/>
      <c r="AI241" s="184"/>
      <c r="AJ241" s="184"/>
      <c r="AK241" s="184"/>
      <c r="AL241" s="184"/>
      <c r="AM241" s="184"/>
      <c r="AN241" s="184"/>
      <c r="AO241" s="184"/>
      <c r="AP241" s="184"/>
      <c r="AQ241" s="184"/>
      <c r="AR241" s="184"/>
      <c r="AS241" s="184"/>
      <c r="AT241" s="184"/>
      <c r="AU241" s="184"/>
      <c r="AV241" s="184"/>
      <c r="AW241" s="184"/>
      <c r="AX241" s="184"/>
      <c r="AY241" s="184"/>
      <c r="AZ241" s="184"/>
      <c r="BA241" s="184"/>
      <c r="BB241" s="184"/>
      <c r="BC241" s="184"/>
      <c r="BD241" s="184"/>
      <c r="BE241" s="184"/>
      <c r="BF241" s="184"/>
      <c r="BG241" s="184"/>
      <c r="BH241" s="184"/>
      <c r="BI241" s="184"/>
      <c r="BJ241" s="184"/>
      <c r="BK241" s="184"/>
      <c r="BL241" s="184"/>
      <c r="BM241" s="184"/>
      <c r="BN241" s="184"/>
      <c r="BO241" s="184"/>
      <c r="BP241" s="184"/>
      <c r="BQ241" s="184"/>
      <c r="BR241" s="184"/>
      <c r="BS241" s="184"/>
      <c r="BT241" s="184"/>
      <c r="BU241" s="184"/>
      <c r="BV241" s="184"/>
      <c r="BW241" s="184"/>
      <c r="BX241" s="184"/>
      <c r="BY241" s="184"/>
      <c r="BZ241" s="184"/>
      <c r="CA241" s="184"/>
      <c r="CB241" s="184"/>
      <c r="CC241" s="184"/>
      <c r="CD241" s="184"/>
      <c r="CE241" s="184"/>
      <c r="CF241" s="184"/>
      <c r="CG241" s="184"/>
      <c r="CH241" s="184"/>
      <c r="CI241" s="184"/>
      <c r="CJ241" s="184"/>
      <c r="CK241" s="184"/>
      <c r="CL241" s="184"/>
      <c r="CM241" s="184"/>
      <c r="CN241" s="184"/>
      <c r="CO241" s="184"/>
      <c r="CP241" s="184"/>
      <c r="CQ241" s="184"/>
      <c r="CR241" s="184"/>
      <c r="CS241" s="184"/>
      <c r="CT241" s="184"/>
      <c r="CU241" s="184"/>
      <c r="CV241" s="184"/>
      <c r="CW241" s="184"/>
      <c r="CX241" s="184"/>
      <c r="CY241" s="184"/>
      <c r="CZ241" s="184"/>
      <c r="DA241" s="184"/>
      <c r="DB241" s="184"/>
      <c r="DC241" s="184"/>
      <c r="DE241" t="s">
        <v>85</v>
      </c>
      <c r="DF241" t="str">
        <f>A223&amp;"#"&amp;C223&amp;"#"&amp;D223</f>
        <v xml:space="preserve">   PANAMA##</v>
      </c>
    </row>
    <row r="242" spans="1:111" ht="78.75" hidden="1" customHeight="1" x14ac:dyDescent="0.35">
      <c r="A242" s="18" t="s">
        <v>2044</v>
      </c>
      <c r="B242" s="72" t="s">
        <v>2045</v>
      </c>
      <c r="C242" s="18" t="s">
        <v>88</v>
      </c>
      <c r="D242" s="19" t="s">
        <v>2046</v>
      </c>
      <c r="E242" s="18" t="s">
        <v>2047</v>
      </c>
      <c r="F242" s="20" t="s">
        <v>2048</v>
      </c>
      <c r="G242" s="20" t="s">
        <v>2049</v>
      </c>
      <c r="H242" s="20" t="s">
        <v>1139</v>
      </c>
      <c r="I242" s="20" t="s">
        <v>94</v>
      </c>
      <c r="J242" s="20" t="s">
        <v>2050</v>
      </c>
      <c r="K242" s="20" t="s">
        <v>96</v>
      </c>
      <c r="L242" s="20" t="s">
        <v>97</v>
      </c>
      <c r="M242" s="20" t="s">
        <v>98</v>
      </c>
      <c r="N242" s="20" t="s">
        <v>2051</v>
      </c>
      <c r="O242" s="20" t="s">
        <v>100</v>
      </c>
      <c r="P242" s="20" t="s">
        <v>101</v>
      </c>
      <c r="Q242" s="20" t="s">
        <v>102</v>
      </c>
      <c r="R242" s="20" t="s">
        <v>103</v>
      </c>
      <c r="S242" s="20" t="s">
        <v>104</v>
      </c>
      <c r="T242" s="20" t="s">
        <v>105</v>
      </c>
      <c r="U242" s="20" t="s">
        <v>106</v>
      </c>
      <c r="V242" s="21" t="s">
        <v>243</v>
      </c>
      <c r="W242" s="21" t="s">
        <v>108</v>
      </c>
      <c r="X242" s="21" t="s">
        <v>109</v>
      </c>
      <c r="Y242" s="21" t="s">
        <v>2052</v>
      </c>
      <c r="Z242" s="21" t="s">
        <v>256</v>
      </c>
      <c r="AA242" s="21" t="s">
        <v>112</v>
      </c>
      <c r="AB242" s="21" t="s">
        <v>2053</v>
      </c>
      <c r="AC242" s="21" t="s">
        <v>2054</v>
      </c>
      <c r="AD242" s="22">
        <v>2230</v>
      </c>
      <c r="AE242" s="23" t="s">
        <v>115</v>
      </c>
      <c r="AF242" s="24"/>
      <c r="AG242" s="23" t="s">
        <v>116</v>
      </c>
      <c r="AH242" s="24"/>
      <c r="AI242" s="25" t="s">
        <v>117</v>
      </c>
      <c r="AJ242" s="24"/>
      <c r="AK242" s="25" t="s">
        <v>117</v>
      </c>
      <c r="AL242" s="22">
        <v>0</v>
      </c>
      <c r="AM242" s="23" t="s">
        <v>115</v>
      </c>
      <c r="AN242" s="24"/>
      <c r="AO242" s="25" t="s">
        <v>117</v>
      </c>
      <c r="AP242" s="28"/>
      <c r="AQ242" s="23" t="s">
        <v>115</v>
      </c>
      <c r="AR242" s="28"/>
      <c r="AS242" s="23" t="s">
        <v>117</v>
      </c>
      <c r="AT242" s="22">
        <v>11120</v>
      </c>
      <c r="AU242" s="23" t="s">
        <v>116</v>
      </c>
      <c r="AV242" s="22">
        <v>1060</v>
      </c>
      <c r="AW242" s="23" t="s">
        <v>115</v>
      </c>
      <c r="AX242" s="22">
        <v>2050</v>
      </c>
      <c r="AY242" s="23" t="s">
        <v>115</v>
      </c>
      <c r="AZ242" s="22">
        <v>350</v>
      </c>
      <c r="BA242" s="23" t="s">
        <v>115</v>
      </c>
      <c r="BB242" s="24"/>
      <c r="BC242" s="23" t="s">
        <v>115</v>
      </c>
      <c r="BD242" s="27" t="s">
        <v>118</v>
      </c>
      <c r="BE242" s="23" t="s">
        <v>115</v>
      </c>
      <c r="BF242" s="27" t="s">
        <v>118</v>
      </c>
      <c r="BG242" s="23" t="s">
        <v>115</v>
      </c>
      <c r="BH242" s="28"/>
      <c r="BI242" s="25" t="s">
        <v>117</v>
      </c>
      <c r="BJ242" s="28"/>
      <c r="BK242" s="25" t="s">
        <v>117</v>
      </c>
      <c r="BL242" s="28"/>
      <c r="BM242" s="25" t="s">
        <v>117</v>
      </c>
      <c r="BN242" s="28"/>
      <c r="BO242" s="25" t="s">
        <v>117</v>
      </c>
      <c r="BP242" s="28"/>
      <c r="BQ242" s="25" t="s">
        <v>117</v>
      </c>
      <c r="BR242" s="28"/>
      <c r="BS242" s="25" t="s">
        <v>117</v>
      </c>
      <c r="BT242" s="28"/>
      <c r="BU242" s="25" t="s">
        <v>117</v>
      </c>
      <c r="BV242" s="28"/>
      <c r="BW242" s="25" t="s">
        <v>117</v>
      </c>
      <c r="BX242" s="28"/>
      <c r="BY242" s="25" t="s">
        <v>117</v>
      </c>
      <c r="BZ242" s="28"/>
      <c r="CA242" s="25" t="s">
        <v>117</v>
      </c>
      <c r="CB242" s="28"/>
      <c r="CC242" s="25" t="s">
        <v>117</v>
      </c>
      <c r="CD242" s="28"/>
      <c r="CE242" s="25" t="s">
        <v>117</v>
      </c>
      <c r="CF242" s="28"/>
      <c r="CG242" s="25" t="s">
        <v>117</v>
      </c>
      <c r="CH242" s="28"/>
      <c r="CI242" s="25"/>
      <c r="CJ242" s="28"/>
      <c r="CK242" s="29" t="s">
        <v>117</v>
      </c>
      <c r="CL242" s="28"/>
      <c r="CM242" s="29" t="s">
        <v>117</v>
      </c>
      <c r="CN242" s="28"/>
      <c r="CO242" s="25" t="s">
        <v>117</v>
      </c>
      <c r="CP242" s="30">
        <v>400</v>
      </c>
      <c r="CQ242" s="23" t="s">
        <v>115</v>
      </c>
      <c r="CR242" s="32"/>
      <c r="CS242" s="23" t="s">
        <v>117</v>
      </c>
      <c r="CT242" s="32"/>
      <c r="CU242" s="23" t="s">
        <v>117</v>
      </c>
      <c r="CV242" s="32"/>
      <c r="CW242" s="23" t="s">
        <v>117</v>
      </c>
      <c r="CX242" s="32"/>
      <c r="CY242" s="25" t="s">
        <v>117</v>
      </c>
      <c r="CZ242" s="32"/>
      <c r="DA242" s="25" t="s">
        <v>117</v>
      </c>
      <c r="DB242" s="33" t="s">
        <v>2055</v>
      </c>
      <c r="DC242" s="25" t="s">
        <v>116</v>
      </c>
      <c r="DD242" s="34">
        <f t="shared" ref="DD242:DD252" si="54">ROUND(0.075*SUM(AD242,AF242,AH242,AJ242,AL242,AN242,AP242,AR242,AT242,AV242,AX242,AZ242,BB242,BR242,BT242,BV242,BX242,BZ242,CB242,CD242,CF242,CJ242,CL242,CN242,CP242,CR242,CT242,CV242,CX242,CZ242),0)</f>
        <v>1291</v>
      </c>
      <c r="DE242" t="s">
        <v>2056</v>
      </c>
      <c r="DF242" t="str">
        <f t="shared" ref="DF242:DF252" si="55">A242&amp;"#"&amp;C242&amp;"#"&amp;D242</f>
        <v>Singapore#Company#Singapore Pte. Ltd</v>
      </c>
      <c r="DG242" t="b">
        <f t="shared" ref="DG242:DG252" si="56">DE242=DF242</f>
        <v>1</v>
      </c>
    </row>
    <row r="243" spans="1:111" ht="15" hidden="1" customHeight="1" x14ac:dyDescent="0.35">
      <c r="A243" s="72" t="s">
        <v>2044</v>
      </c>
      <c r="B243" s="72" t="s">
        <v>2045</v>
      </c>
      <c r="C243" s="72" t="s">
        <v>88</v>
      </c>
      <c r="D243" s="73" t="s">
        <v>2057</v>
      </c>
      <c r="E243" s="72" t="s">
        <v>2058</v>
      </c>
      <c r="F243" s="20" t="s">
        <v>2059</v>
      </c>
      <c r="G243" s="20" t="s">
        <v>2060</v>
      </c>
      <c r="H243" s="20" t="s">
        <v>1139</v>
      </c>
      <c r="I243" s="20" t="s">
        <v>94</v>
      </c>
      <c r="J243" s="20" t="s">
        <v>2050</v>
      </c>
      <c r="K243" s="20" t="s">
        <v>96</v>
      </c>
      <c r="L243" s="20" t="s">
        <v>97</v>
      </c>
      <c r="M243" s="20" t="s">
        <v>98</v>
      </c>
      <c r="N243" s="20" t="s">
        <v>2051</v>
      </c>
      <c r="O243" s="20" t="s">
        <v>100</v>
      </c>
      <c r="P243" s="20" t="s">
        <v>101</v>
      </c>
      <c r="Q243" s="20" t="s">
        <v>102</v>
      </c>
      <c r="R243" s="20" t="s">
        <v>103</v>
      </c>
      <c r="S243" s="20" t="s">
        <v>104</v>
      </c>
      <c r="T243" s="20" t="s">
        <v>105</v>
      </c>
      <c r="U243" s="20" t="s">
        <v>106</v>
      </c>
      <c r="V243" s="21" t="s">
        <v>1836</v>
      </c>
      <c r="W243" s="21" t="s">
        <v>108</v>
      </c>
      <c r="X243" s="21" t="s">
        <v>109</v>
      </c>
      <c r="Y243" s="21" t="s">
        <v>2061</v>
      </c>
      <c r="Z243" s="21" t="s">
        <v>256</v>
      </c>
      <c r="AA243" s="21" t="s">
        <v>112</v>
      </c>
      <c r="AB243" s="21" t="s">
        <v>2062</v>
      </c>
      <c r="AC243" s="21" t="s">
        <v>2063</v>
      </c>
      <c r="AD243" s="61">
        <v>12380</v>
      </c>
      <c r="AE243" s="23" t="s">
        <v>115</v>
      </c>
      <c r="AF243" s="74"/>
      <c r="AG243" s="23" t="s">
        <v>116</v>
      </c>
      <c r="AH243" s="74"/>
      <c r="AI243" s="25" t="s">
        <v>117</v>
      </c>
      <c r="AJ243" s="74"/>
      <c r="AK243" s="25" t="s">
        <v>117</v>
      </c>
      <c r="AL243" s="22">
        <v>0</v>
      </c>
      <c r="AM243" s="23" t="s">
        <v>115</v>
      </c>
      <c r="AN243" s="74"/>
      <c r="AO243" s="25" t="s">
        <v>117</v>
      </c>
      <c r="AP243" s="61">
        <v>12380</v>
      </c>
      <c r="AQ243" s="23" t="s">
        <v>115</v>
      </c>
      <c r="AR243" s="74"/>
      <c r="AS243" s="23" t="s">
        <v>117</v>
      </c>
      <c r="AT243" s="58" t="s">
        <v>118</v>
      </c>
      <c r="AU243" s="23" t="s">
        <v>116</v>
      </c>
      <c r="AV243" s="58" t="s">
        <v>118</v>
      </c>
      <c r="AW243" s="23" t="s">
        <v>115</v>
      </c>
      <c r="AX243" s="58" t="s">
        <v>118</v>
      </c>
      <c r="AY243" s="23" t="s">
        <v>115</v>
      </c>
      <c r="AZ243" s="58" t="s">
        <v>118</v>
      </c>
      <c r="BA243" s="23" t="s">
        <v>115</v>
      </c>
      <c r="BB243" s="75"/>
      <c r="BC243" s="23" t="s">
        <v>115</v>
      </c>
      <c r="BD243" s="61">
        <v>1000</v>
      </c>
      <c r="BE243" s="23" t="s">
        <v>115</v>
      </c>
      <c r="BF243" s="58" t="s">
        <v>118</v>
      </c>
      <c r="BG243" s="23" t="s">
        <v>115</v>
      </c>
      <c r="BH243" s="75"/>
      <c r="BI243" s="25" t="s">
        <v>117</v>
      </c>
      <c r="BJ243" s="75"/>
      <c r="BK243" s="25" t="s">
        <v>117</v>
      </c>
      <c r="BL243" s="75"/>
      <c r="BM243" s="25" t="s">
        <v>117</v>
      </c>
      <c r="BN243" s="75"/>
      <c r="BO243" s="25" t="s">
        <v>117</v>
      </c>
      <c r="BP243" s="75"/>
      <c r="BQ243" s="25" t="s">
        <v>117</v>
      </c>
      <c r="BR243" s="75"/>
      <c r="BS243" s="25" t="s">
        <v>117</v>
      </c>
      <c r="BT243" s="75"/>
      <c r="BU243" s="25" t="s">
        <v>117</v>
      </c>
      <c r="BV243" s="75"/>
      <c r="BW243" s="25" t="s">
        <v>117</v>
      </c>
      <c r="BX243" s="75"/>
      <c r="BY243" s="25" t="s">
        <v>117</v>
      </c>
      <c r="BZ243" s="75"/>
      <c r="CA243" s="25" t="s">
        <v>117</v>
      </c>
      <c r="CB243" s="75"/>
      <c r="CC243" s="25" t="s">
        <v>117</v>
      </c>
      <c r="CD243" s="75"/>
      <c r="CE243" s="25" t="s">
        <v>117</v>
      </c>
      <c r="CF243" s="75"/>
      <c r="CG243" s="25" t="s">
        <v>117</v>
      </c>
      <c r="CH243" s="75"/>
      <c r="CI243" s="25"/>
      <c r="CJ243" s="75"/>
      <c r="CK243" s="62" t="s">
        <v>117</v>
      </c>
      <c r="CL243" s="75"/>
      <c r="CM243" s="62" t="s">
        <v>117</v>
      </c>
      <c r="CN243" s="75"/>
      <c r="CO243" s="25" t="s">
        <v>117</v>
      </c>
      <c r="CP243" s="30">
        <v>400</v>
      </c>
      <c r="CQ243" s="23" t="s">
        <v>115</v>
      </c>
      <c r="CR243" s="32"/>
      <c r="CS243" s="23" t="s">
        <v>117</v>
      </c>
      <c r="CT243" s="32"/>
      <c r="CU243" s="23" t="s">
        <v>117</v>
      </c>
      <c r="CV243" s="32"/>
      <c r="CW243" s="23" t="s">
        <v>117</v>
      </c>
      <c r="CX243" s="32"/>
      <c r="CY243" s="25" t="s">
        <v>117</v>
      </c>
      <c r="CZ243" s="32"/>
      <c r="DA243" s="25" t="s">
        <v>117</v>
      </c>
      <c r="DB243" s="33" t="s">
        <v>120</v>
      </c>
      <c r="DC243" s="25" t="s">
        <v>116</v>
      </c>
      <c r="DD243" s="34">
        <f t="shared" si="54"/>
        <v>1887</v>
      </c>
      <c r="DE243" t="s">
        <v>2064</v>
      </c>
      <c r="DF243" t="str">
        <f t="shared" si="55"/>
        <v>Singapore#Company#Singapore PTC</v>
      </c>
      <c r="DG243" t="b">
        <f t="shared" si="56"/>
        <v>1</v>
      </c>
    </row>
    <row r="244" spans="1:111" ht="101.25" hidden="1" customHeight="1" x14ac:dyDescent="0.35">
      <c r="A244" s="42" t="s">
        <v>2044</v>
      </c>
      <c r="B244" s="72" t="s">
        <v>2045</v>
      </c>
      <c r="C244" s="42" t="s">
        <v>460</v>
      </c>
      <c r="D244" s="43" t="s">
        <v>2065</v>
      </c>
      <c r="E244" s="42" t="s">
        <v>2047</v>
      </c>
      <c r="F244" s="20" t="s">
        <v>2066</v>
      </c>
      <c r="G244" s="20" t="s">
        <v>2067</v>
      </c>
      <c r="H244" s="20" t="s">
        <v>1394</v>
      </c>
      <c r="I244" s="20" t="s">
        <v>146</v>
      </c>
      <c r="J244" s="20" t="s">
        <v>2050</v>
      </c>
      <c r="K244" s="20" t="s">
        <v>96</v>
      </c>
      <c r="L244" s="20" t="s">
        <v>97</v>
      </c>
      <c r="M244" s="20" t="s">
        <v>98</v>
      </c>
      <c r="N244" s="20" t="s">
        <v>147</v>
      </c>
      <c r="O244" s="20" t="s">
        <v>148</v>
      </c>
      <c r="P244" s="20" t="s">
        <v>149</v>
      </c>
      <c r="Q244" s="20" t="s">
        <v>150</v>
      </c>
      <c r="R244" s="20" t="s">
        <v>151</v>
      </c>
      <c r="S244" s="20" t="s">
        <v>152</v>
      </c>
      <c r="T244" s="20" t="s">
        <v>153</v>
      </c>
      <c r="U244" s="20" t="s">
        <v>154</v>
      </c>
      <c r="V244" s="21" t="s">
        <v>292</v>
      </c>
      <c r="W244" s="21" t="s">
        <v>108</v>
      </c>
      <c r="X244" s="21" t="s">
        <v>164</v>
      </c>
      <c r="Y244" s="21" t="s">
        <v>2068</v>
      </c>
      <c r="Z244" s="21" t="s">
        <v>111</v>
      </c>
      <c r="AA244" s="21" t="s">
        <v>166</v>
      </c>
      <c r="AB244" s="21" t="s">
        <v>2069</v>
      </c>
      <c r="AC244" s="21" t="s">
        <v>2070</v>
      </c>
      <c r="AD244" s="61">
        <v>2230</v>
      </c>
      <c r="AE244" s="23" t="s">
        <v>115</v>
      </c>
      <c r="AF244" s="44"/>
      <c r="AG244" s="23" t="s">
        <v>116</v>
      </c>
      <c r="AH244" s="44"/>
      <c r="AI244" s="25" t="s">
        <v>117</v>
      </c>
      <c r="AJ244" s="44"/>
      <c r="AK244" s="25" t="s">
        <v>117</v>
      </c>
      <c r="AL244" s="22">
        <v>0</v>
      </c>
      <c r="AM244" s="23" t="s">
        <v>115</v>
      </c>
      <c r="AN244" s="44"/>
      <c r="AO244" s="25" t="s">
        <v>117</v>
      </c>
      <c r="AP244" s="47">
        <v>4900</v>
      </c>
      <c r="AQ244" s="23" t="s">
        <v>115</v>
      </c>
      <c r="AR244" s="46"/>
      <c r="AS244" s="23" t="s">
        <v>117</v>
      </c>
      <c r="AT244" s="45" t="s">
        <v>118</v>
      </c>
      <c r="AU244" s="23" t="s">
        <v>116</v>
      </c>
      <c r="AV244" s="22">
        <v>1090</v>
      </c>
      <c r="AW244" s="23" t="s">
        <v>115</v>
      </c>
      <c r="AX244" s="45" t="s">
        <v>118</v>
      </c>
      <c r="AY244" s="23" t="s">
        <v>115</v>
      </c>
      <c r="AZ244" s="45" t="s">
        <v>118</v>
      </c>
      <c r="BA244" s="23" t="s">
        <v>115</v>
      </c>
      <c r="BB244" s="46"/>
      <c r="BC244" s="23" t="s">
        <v>115</v>
      </c>
      <c r="BD244" s="26">
        <v>300</v>
      </c>
      <c r="BE244" s="23" t="s">
        <v>115</v>
      </c>
      <c r="BF244" s="26">
        <v>500</v>
      </c>
      <c r="BG244" s="23" t="s">
        <v>115</v>
      </c>
      <c r="BH244" s="46"/>
      <c r="BI244" s="25" t="s">
        <v>117</v>
      </c>
      <c r="BJ244" s="46"/>
      <c r="BK244" s="25" t="s">
        <v>117</v>
      </c>
      <c r="BL244" s="46"/>
      <c r="BM244" s="25" t="s">
        <v>117</v>
      </c>
      <c r="BN244" s="46"/>
      <c r="BO244" s="25" t="s">
        <v>117</v>
      </c>
      <c r="BP244" s="46"/>
      <c r="BQ244" s="25" t="s">
        <v>117</v>
      </c>
      <c r="BR244" s="47">
        <v>20000</v>
      </c>
      <c r="BS244" s="25" t="s">
        <v>115</v>
      </c>
      <c r="BT244" s="46"/>
      <c r="BU244" s="25" t="s">
        <v>117</v>
      </c>
      <c r="BV244" s="46"/>
      <c r="BW244" s="25" t="s">
        <v>117</v>
      </c>
      <c r="BX244" s="46"/>
      <c r="BY244" s="25" t="s">
        <v>117</v>
      </c>
      <c r="BZ244" s="46"/>
      <c r="CA244" s="25" t="s">
        <v>117</v>
      </c>
      <c r="CB244" s="45" t="s">
        <v>159</v>
      </c>
      <c r="CC244" s="25" t="s">
        <v>116</v>
      </c>
      <c r="CD244" s="46"/>
      <c r="CE244" s="25" t="s">
        <v>117</v>
      </c>
      <c r="CF244" s="46"/>
      <c r="CG244" s="25" t="s">
        <v>117</v>
      </c>
      <c r="CH244" s="46"/>
      <c r="CI244" s="25"/>
      <c r="CJ244" s="46"/>
      <c r="CK244" s="48" t="s">
        <v>117</v>
      </c>
      <c r="CL244" s="46"/>
      <c r="CM244" s="48" t="s">
        <v>117</v>
      </c>
      <c r="CN244" s="46"/>
      <c r="CO244" s="25" t="s">
        <v>117</v>
      </c>
      <c r="CP244" s="30">
        <v>400</v>
      </c>
      <c r="CQ244" s="23" t="s">
        <v>115</v>
      </c>
      <c r="CR244" s="32"/>
      <c r="CS244" s="23" t="s">
        <v>117</v>
      </c>
      <c r="CT244" s="32"/>
      <c r="CU244" s="23" t="s">
        <v>117</v>
      </c>
      <c r="CV244" s="32"/>
      <c r="CW244" s="23" t="s">
        <v>117</v>
      </c>
      <c r="CX244" s="22">
        <v>4000</v>
      </c>
      <c r="CY244" s="25" t="s">
        <v>116</v>
      </c>
      <c r="CZ244" s="32"/>
      <c r="DA244" s="25" t="s">
        <v>117</v>
      </c>
      <c r="DB244" s="33" t="s">
        <v>120</v>
      </c>
      <c r="DC244" s="25" t="s">
        <v>116</v>
      </c>
      <c r="DD244" s="34">
        <f t="shared" si="54"/>
        <v>2447</v>
      </c>
      <c r="DE244" t="s">
        <v>2071</v>
      </c>
      <c r="DF244" t="str">
        <f t="shared" si="55"/>
        <v>Singapore#Partnership#Singapore LLP</v>
      </c>
      <c r="DG244" t="b">
        <f t="shared" si="56"/>
        <v>1</v>
      </c>
    </row>
    <row r="245" spans="1:111" ht="168.75" hidden="1" customHeight="1" x14ac:dyDescent="0.35">
      <c r="A245" s="18" t="s">
        <v>2044</v>
      </c>
      <c r="B245" s="72" t="s">
        <v>2072</v>
      </c>
      <c r="C245" s="18" t="s">
        <v>122</v>
      </c>
      <c r="D245" s="19" t="s">
        <v>2073</v>
      </c>
      <c r="E245" s="18" t="s">
        <v>90</v>
      </c>
      <c r="F245" s="20" t="s">
        <v>124</v>
      </c>
      <c r="G245" s="20" t="s">
        <v>2074</v>
      </c>
      <c r="H245" s="20" t="s">
        <v>126</v>
      </c>
      <c r="I245" s="20" t="s">
        <v>127</v>
      </c>
      <c r="J245" s="20" t="s">
        <v>2050</v>
      </c>
      <c r="K245" s="20" t="s">
        <v>96</v>
      </c>
      <c r="L245" s="20" t="s">
        <v>97</v>
      </c>
      <c r="M245" s="20" t="s">
        <v>98</v>
      </c>
      <c r="N245" s="20" t="s">
        <v>128</v>
      </c>
      <c r="O245" s="20" t="s">
        <v>129</v>
      </c>
      <c r="P245" s="20" t="s">
        <v>130</v>
      </c>
      <c r="Q245" s="20" t="s">
        <v>131</v>
      </c>
      <c r="R245" s="20" t="s">
        <v>132</v>
      </c>
      <c r="S245" s="20" t="s">
        <v>133</v>
      </c>
      <c r="T245" s="20" t="s">
        <v>134</v>
      </c>
      <c r="U245" s="20" t="s">
        <v>135</v>
      </c>
      <c r="V245" s="21" t="s">
        <v>122</v>
      </c>
      <c r="W245" s="21" t="s">
        <v>108</v>
      </c>
      <c r="X245" s="21" t="s">
        <v>109</v>
      </c>
      <c r="Y245" s="21" t="s">
        <v>2075</v>
      </c>
      <c r="Z245" s="21" t="s">
        <v>111</v>
      </c>
      <c r="AA245" s="21"/>
      <c r="AB245" s="21" t="s">
        <v>2076</v>
      </c>
      <c r="AC245" s="21" t="s">
        <v>2077</v>
      </c>
      <c r="AD245" s="22">
        <v>12380</v>
      </c>
      <c r="AE245" s="23" t="s">
        <v>115</v>
      </c>
      <c r="AF245" s="24"/>
      <c r="AG245" s="23" t="s">
        <v>116</v>
      </c>
      <c r="AH245" s="24"/>
      <c r="AI245" s="25" t="s">
        <v>117</v>
      </c>
      <c r="AJ245" s="24"/>
      <c r="AK245" s="25" t="s">
        <v>117</v>
      </c>
      <c r="AL245" s="22">
        <v>0</v>
      </c>
      <c r="AM245" s="23" t="s">
        <v>115</v>
      </c>
      <c r="AN245" s="22">
        <v>1000</v>
      </c>
      <c r="AO245" s="25" t="s">
        <v>116</v>
      </c>
      <c r="AQ245" s="23" t="s">
        <v>117</v>
      </c>
      <c r="AR245" s="22">
        <v>12380</v>
      </c>
      <c r="AS245" s="23" t="s">
        <v>115</v>
      </c>
      <c r="AT245" s="27" t="s">
        <v>118</v>
      </c>
      <c r="AU245" s="23" t="s">
        <v>116</v>
      </c>
      <c r="AV245" s="27" t="s">
        <v>118</v>
      </c>
      <c r="AW245" s="23" t="s">
        <v>115</v>
      </c>
      <c r="AX245" s="27" t="s">
        <v>118</v>
      </c>
      <c r="AY245" s="23" t="s">
        <v>115</v>
      </c>
      <c r="AZ245" s="27" t="s">
        <v>118</v>
      </c>
      <c r="BA245" s="23" t="s">
        <v>115</v>
      </c>
      <c r="BB245" s="28"/>
      <c r="BC245" s="23" t="s">
        <v>115</v>
      </c>
      <c r="BD245" s="22">
        <v>1000</v>
      </c>
      <c r="BE245" s="23" t="s">
        <v>115</v>
      </c>
      <c r="BF245" s="27" t="s">
        <v>118</v>
      </c>
      <c r="BG245" s="23" t="s">
        <v>115</v>
      </c>
      <c r="BH245" s="28"/>
      <c r="BI245" s="25" t="s">
        <v>117</v>
      </c>
      <c r="BJ245" s="28"/>
      <c r="BK245" s="25" t="s">
        <v>117</v>
      </c>
      <c r="BL245" s="28"/>
      <c r="BM245" s="25" t="s">
        <v>117</v>
      </c>
      <c r="BN245" s="28"/>
      <c r="BO245" s="25" t="s">
        <v>117</v>
      </c>
      <c r="BP245" s="28"/>
      <c r="BQ245" s="25" t="s">
        <v>117</v>
      </c>
      <c r="BR245" s="28"/>
      <c r="BS245" s="25" t="s">
        <v>117</v>
      </c>
      <c r="BT245" s="28"/>
      <c r="BU245" s="25" t="s">
        <v>117</v>
      </c>
      <c r="BV245" s="28"/>
      <c r="BW245" s="25" t="s">
        <v>117</v>
      </c>
      <c r="BX245" s="28"/>
      <c r="BY245" s="25" t="s">
        <v>117</v>
      </c>
      <c r="BZ245" s="28"/>
      <c r="CA245" s="25" t="s">
        <v>117</v>
      </c>
      <c r="CB245" s="28"/>
      <c r="CC245" s="25" t="s">
        <v>117</v>
      </c>
      <c r="CD245" s="28"/>
      <c r="CE245" s="25" t="s">
        <v>117</v>
      </c>
      <c r="CF245" s="28"/>
      <c r="CG245" s="25" t="s">
        <v>117</v>
      </c>
      <c r="CH245" s="28"/>
      <c r="CI245" s="25"/>
      <c r="CJ245" s="28"/>
      <c r="CK245" s="29" t="s">
        <v>117</v>
      </c>
      <c r="CL245" s="28"/>
      <c r="CM245" s="29" t="s">
        <v>117</v>
      </c>
      <c r="CN245" s="28"/>
      <c r="CO245" s="25" t="s">
        <v>117</v>
      </c>
      <c r="CP245" s="30">
        <v>400</v>
      </c>
      <c r="CQ245" s="23" t="s">
        <v>115</v>
      </c>
      <c r="CR245" s="32"/>
      <c r="CS245" s="23" t="s">
        <v>117</v>
      </c>
      <c r="CT245" s="32"/>
      <c r="CU245" s="23" t="s">
        <v>117</v>
      </c>
      <c r="CV245" s="32"/>
      <c r="CW245" s="23" t="s">
        <v>117</v>
      </c>
      <c r="CX245" s="32"/>
      <c r="CY245" s="25" t="s">
        <v>117</v>
      </c>
      <c r="CZ245" s="32"/>
      <c r="DA245" s="25" t="s">
        <v>117</v>
      </c>
      <c r="DB245" s="33" t="s">
        <v>120</v>
      </c>
      <c r="DC245" s="25" t="s">
        <v>116</v>
      </c>
      <c r="DD245" s="34">
        <f t="shared" si="54"/>
        <v>1962</v>
      </c>
      <c r="DE245" t="s">
        <v>2078</v>
      </c>
      <c r="DF245" t="str">
        <f t="shared" si="55"/>
        <v>Singapore#Trust#Singapore Trust</v>
      </c>
      <c r="DG245" t="b">
        <f t="shared" si="56"/>
        <v>1</v>
      </c>
    </row>
    <row r="246" spans="1:111" ht="67.5" hidden="1" customHeight="1" x14ac:dyDescent="0.35">
      <c r="A246" s="35" t="s">
        <v>2044</v>
      </c>
      <c r="B246" s="72" t="s">
        <v>2072</v>
      </c>
      <c r="C246" s="35" t="s">
        <v>122</v>
      </c>
      <c r="D246" s="36" t="s">
        <v>2079</v>
      </c>
      <c r="E246" s="35" t="s">
        <v>90</v>
      </c>
      <c r="F246" s="20" t="s">
        <v>1880</v>
      </c>
      <c r="G246" s="20" t="s">
        <v>2080</v>
      </c>
      <c r="H246" s="20" t="s">
        <v>126</v>
      </c>
      <c r="I246" s="20" t="s">
        <v>127</v>
      </c>
      <c r="J246" s="20" t="s">
        <v>2050</v>
      </c>
      <c r="K246" s="20" t="s">
        <v>96</v>
      </c>
      <c r="L246" s="20" t="s">
        <v>97</v>
      </c>
      <c r="M246" s="20" t="s">
        <v>98</v>
      </c>
      <c r="N246" s="20" t="s">
        <v>128</v>
      </c>
      <c r="O246" s="20" t="s">
        <v>129</v>
      </c>
      <c r="P246" s="20" t="s">
        <v>130</v>
      </c>
      <c r="Q246" s="20" t="s">
        <v>131</v>
      </c>
      <c r="R246" s="20" t="s">
        <v>132</v>
      </c>
      <c r="S246" s="20" t="s">
        <v>133</v>
      </c>
      <c r="T246" s="20" t="s">
        <v>134</v>
      </c>
      <c r="U246" s="20" t="s">
        <v>135</v>
      </c>
      <c r="V246" s="21" t="s">
        <v>1882</v>
      </c>
      <c r="W246" s="21" t="s">
        <v>108</v>
      </c>
      <c r="X246" s="21" t="s">
        <v>109</v>
      </c>
      <c r="Y246" s="21" t="s">
        <v>2081</v>
      </c>
      <c r="Z246" s="21" t="s">
        <v>111</v>
      </c>
      <c r="AA246" s="21"/>
      <c r="AB246" s="21" t="s">
        <v>2082</v>
      </c>
      <c r="AC246" s="21" t="s">
        <v>2083</v>
      </c>
      <c r="AD246" s="37">
        <v>5000</v>
      </c>
      <c r="AE246" s="23" t="s">
        <v>115</v>
      </c>
      <c r="AF246" s="38"/>
      <c r="AG246" s="23" t="s">
        <v>116</v>
      </c>
      <c r="AH246" s="38"/>
      <c r="AI246" s="25" t="s">
        <v>117</v>
      </c>
      <c r="AJ246" s="38"/>
      <c r="AK246" s="25" t="s">
        <v>117</v>
      </c>
      <c r="AL246" s="22">
        <v>0</v>
      </c>
      <c r="AM246" s="23" t="s">
        <v>115</v>
      </c>
      <c r="AN246" s="38"/>
      <c r="AO246" s="25" t="s">
        <v>117</v>
      </c>
      <c r="AQ246" s="23" t="s">
        <v>117</v>
      </c>
      <c r="AR246" s="37">
        <v>4000</v>
      </c>
      <c r="AS246" s="23" t="s">
        <v>115</v>
      </c>
      <c r="AT246" s="39" t="s">
        <v>118</v>
      </c>
      <c r="AU246" s="23" t="s">
        <v>116</v>
      </c>
      <c r="AV246" s="39" t="s">
        <v>118</v>
      </c>
      <c r="AW246" s="23" t="s">
        <v>115</v>
      </c>
      <c r="AX246" s="39" t="s">
        <v>118</v>
      </c>
      <c r="AY246" s="23" t="s">
        <v>115</v>
      </c>
      <c r="AZ246" s="39" t="s">
        <v>118</v>
      </c>
      <c r="BA246" s="23" t="s">
        <v>115</v>
      </c>
      <c r="BB246" s="40"/>
      <c r="BC246" s="23" t="s">
        <v>115</v>
      </c>
      <c r="BD246" s="39" t="s">
        <v>118</v>
      </c>
      <c r="BE246" s="23" t="s">
        <v>115</v>
      </c>
      <c r="BF246" s="39" t="s">
        <v>118</v>
      </c>
      <c r="BG246" s="23" t="s">
        <v>115</v>
      </c>
      <c r="BH246" s="40"/>
      <c r="BI246" s="25" t="s">
        <v>117</v>
      </c>
      <c r="BJ246" s="40"/>
      <c r="BK246" s="25" t="s">
        <v>117</v>
      </c>
      <c r="BL246" s="40"/>
      <c r="BM246" s="25" t="s">
        <v>117</v>
      </c>
      <c r="BN246" s="40"/>
      <c r="BO246" s="25" t="s">
        <v>117</v>
      </c>
      <c r="BP246" s="40"/>
      <c r="BQ246" s="25" t="s">
        <v>117</v>
      </c>
      <c r="BR246" s="40"/>
      <c r="BS246" s="25" t="s">
        <v>117</v>
      </c>
      <c r="BT246" s="40"/>
      <c r="BU246" s="25" t="s">
        <v>117</v>
      </c>
      <c r="BV246" s="40"/>
      <c r="BW246" s="25" t="s">
        <v>117</v>
      </c>
      <c r="BX246" s="40"/>
      <c r="BY246" s="25" t="s">
        <v>117</v>
      </c>
      <c r="BZ246" s="40"/>
      <c r="CA246" s="25" t="s">
        <v>117</v>
      </c>
      <c r="CB246" s="40"/>
      <c r="CC246" s="25" t="s">
        <v>117</v>
      </c>
      <c r="CD246" s="40"/>
      <c r="CE246" s="25" t="s">
        <v>117</v>
      </c>
      <c r="CF246" s="40"/>
      <c r="CG246" s="25" t="s">
        <v>117</v>
      </c>
      <c r="CH246" s="40"/>
      <c r="CI246" s="25"/>
      <c r="CJ246" s="40"/>
      <c r="CK246" s="41" t="s">
        <v>117</v>
      </c>
      <c r="CL246" s="40"/>
      <c r="CM246" s="41" t="s">
        <v>117</v>
      </c>
      <c r="CN246" s="40"/>
      <c r="CO246" s="25" t="s">
        <v>117</v>
      </c>
      <c r="CP246" s="30">
        <v>400</v>
      </c>
      <c r="CQ246" s="23" t="s">
        <v>115</v>
      </c>
      <c r="CR246" s="32"/>
      <c r="CS246" s="23" t="s">
        <v>117</v>
      </c>
      <c r="CT246" s="32"/>
      <c r="CU246" s="23" t="s">
        <v>117</v>
      </c>
      <c r="CV246" s="32"/>
      <c r="CW246" s="23" t="s">
        <v>117</v>
      </c>
      <c r="CX246" s="32"/>
      <c r="CY246" s="25" t="s">
        <v>117</v>
      </c>
      <c r="CZ246" s="32"/>
      <c r="DA246" s="25" t="s">
        <v>117</v>
      </c>
      <c r="DB246" s="33" t="s">
        <v>120</v>
      </c>
      <c r="DC246" s="25" t="s">
        <v>116</v>
      </c>
      <c r="DD246" s="34">
        <f t="shared" si="54"/>
        <v>705</v>
      </c>
      <c r="DE246" t="s">
        <v>2084</v>
      </c>
      <c r="DF246" t="str">
        <f t="shared" si="55"/>
        <v>Singapore#Trust#Singapore Escrow Agent</v>
      </c>
      <c r="DG246" t="b">
        <f t="shared" si="56"/>
        <v>1</v>
      </c>
    </row>
    <row r="247" spans="1:111" ht="67.5" customHeight="1" x14ac:dyDescent="0.35">
      <c r="A247" s="18" t="s">
        <v>2044</v>
      </c>
      <c r="B247" s="18" t="s">
        <v>1188</v>
      </c>
      <c r="C247" s="18" t="s">
        <v>141</v>
      </c>
      <c r="D247" s="19" t="s">
        <v>2085</v>
      </c>
      <c r="E247" s="18"/>
      <c r="F247" s="20" t="s">
        <v>1661</v>
      </c>
      <c r="G247" s="20" t="s">
        <v>2086</v>
      </c>
      <c r="H247" s="20" t="s">
        <v>1394</v>
      </c>
      <c r="I247" s="20" t="s">
        <v>146</v>
      </c>
      <c r="J247" s="20" t="s">
        <v>2050</v>
      </c>
      <c r="K247" s="20" t="s">
        <v>96</v>
      </c>
      <c r="L247" s="20" t="s">
        <v>97</v>
      </c>
      <c r="M247" s="20" t="s">
        <v>98</v>
      </c>
      <c r="N247" s="20" t="s">
        <v>147</v>
      </c>
      <c r="O247" s="20" t="s">
        <v>148</v>
      </c>
      <c r="P247" s="20" t="s">
        <v>149</v>
      </c>
      <c r="Q247" s="20" t="s">
        <v>150</v>
      </c>
      <c r="R247" s="20" t="s">
        <v>151</v>
      </c>
      <c r="S247" s="20" t="s">
        <v>152</v>
      </c>
      <c r="T247" s="20" t="s">
        <v>153</v>
      </c>
      <c r="U247" s="20" t="s">
        <v>154</v>
      </c>
      <c r="V247" s="21" t="s">
        <v>267</v>
      </c>
      <c r="W247" s="21" t="s">
        <v>108</v>
      </c>
      <c r="X247" s="21" t="s">
        <v>109</v>
      </c>
      <c r="Y247" s="21" t="s">
        <v>2087</v>
      </c>
      <c r="Z247" s="21" t="s">
        <v>2088</v>
      </c>
      <c r="AA247" s="21" t="s">
        <v>1193</v>
      </c>
      <c r="AB247" s="21" t="s">
        <v>2089</v>
      </c>
      <c r="AC247" s="21" t="s">
        <v>2090</v>
      </c>
      <c r="AD247" s="38"/>
      <c r="AE247" s="23" t="s">
        <v>115</v>
      </c>
      <c r="AF247" s="28"/>
      <c r="AG247" s="23" t="s">
        <v>116</v>
      </c>
      <c r="AH247" s="28"/>
      <c r="AI247" s="25" t="s">
        <v>117</v>
      </c>
      <c r="AJ247" s="28"/>
      <c r="AK247" s="25" t="s">
        <v>117</v>
      </c>
      <c r="AL247" s="22">
        <v>0</v>
      </c>
      <c r="AM247" s="23" t="s">
        <v>115</v>
      </c>
      <c r="AN247" s="28"/>
      <c r="AO247" s="25" t="s">
        <v>117</v>
      </c>
      <c r="AP247" s="22">
        <v>5000</v>
      </c>
      <c r="AQ247" s="23" t="s">
        <v>115</v>
      </c>
      <c r="AR247" s="28"/>
      <c r="AS247" s="23" t="s">
        <v>117</v>
      </c>
      <c r="AT247" s="27" t="s">
        <v>118</v>
      </c>
      <c r="AU247" s="23" t="s">
        <v>116</v>
      </c>
      <c r="AV247" s="27" t="s">
        <v>118</v>
      </c>
      <c r="AW247" s="23" t="s">
        <v>115</v>
      </c>
      <c r="AX247" s="27" t="s">
        <v>118</v>
      </c>
      <c r="AY247" s="23" t="s">
        <v>115</v>
      </c>
      <c r="AZ247" s="27" t="s">
        <v>118</v>
      </c>
      <c r="BA247" s="23" t="s">
        <v>115</v>
      </c>
      <c r="BB247" s="28"/>
      <c r="BC247" s="23" t="s">
        <v>115</v>
      </c>
      <c r="BD247" s="27" t="s">
        <v>118</v>
      </c>
      <c r="BE247" s="23" t="s">
        <v>115</v>
      </c>
      <c r="BF247" s="27" t="s">
        <v>118</v>
      </c>
      <c r="BG247" s="23" t="s">
        <v>115</v>
      </c>
      <c r="BH247" s="28"/>
      <c r="BI247" s="25" t="s">
        <v>117</v>
      </c>
      <c r="BJ247" s="28"/>
      <c r="BK247" s="25" t="s">
        <v>117</v>
      </c>
      <c r="BL247" s="28"/>
      <c r="BM247" s="25" t="s">
        <v>117</v>
      </c>
      <c r="BN247" s="28"/>
      <c r="BO247" s="25" t="s">
        <v>117</v>
      </c>
      <c r="BP247" s="28"/>
      <c r="BQ247" s="25" t="s">
        <v>117</v>
      </c>
      <c r="BR247" s="22">
        <v>18000</v>
      </c>
      <c r="BS247" s="25" t="s">
        <v>115</v>
      </c>
      <c r="BT247" s="28"/>
      <c r="BU247" s="25" t="s">
        <v>117</v>
      </c>
      <c r="BV247" s="28"/>
      <c r="BW247" s="25" t="s">
        <v>117</v>
      </c>
      <c r="BX247" s="28"/>
      <c r="BY247" s="25" t="s">
        <v>117</v>
      </c>
      <c r="BZ247" s="45" t="s">
        <v>2091</v>
      </c>
      <c r="CA247" s="25" t="s">
        <v>116</v>
      </c>
      <c r="CB247" s="45" t="s">
        <v>2092</v>
      </c>
      <c r="CC247" s="25" t="s">
        <v>116</v>
      </c>
      <c r="CD247" s="28"/>
      <c r="CE247" s="25" t="s">
        <v>117</v>
      </c>
      <c r="CF247" s="28"/>
      <c r="CG247" s="25" t="s">
        <v>117</v>
      </c>
      <c r="CH247" s="151">
        <v>5000</v>
      </c>
      <c r="CI247" s="25" t="s">
        <v>116</v>
      </c>
      <c r="CJ247" s="151">
        <v>2500</v>
      </c>
      <c r="CK247" s="48" t="s">
        <v>116</v>
      </c>
      <c r="CL247" s="22">
        <v>7500</v>
      </c>
      <c r="CM247" s="48" t="s">
        <v>116</v>
      </c>
      <c r="CN247" s="46">
        <v>1500</v>
      </c>
      <c r="CO247" s="25" t="s">
        <v>116</v>
      </c>
      <c r="CP247" s="30">
        <v>400</v>
      </c>
      <c r="CQ247" s="23" t="s">
        <v>115</v>
      </c>
      <c r="CR247" s="32"/>
      <c r="CS247" s="23" t="s">
        <v>117</v>
      </c>
      <c r="CT247" s="32"/>
      <c r="CU247" s="23" t="s">
        <v>117</v>
      </c>
      <c r="CV247" s="32"/>
      <c r="CW247" s="23" t="s">
        <v>117</v>
      </c>
      <c r="CX247" s="32"/>
      <c r="CY247" s="25" t="s">
        <v>117</v>
      </c>
      <c r="CZ247" s="32"/>
      <c r="DA247" s="25" t="s">
        <v>117</v>
      </c>
      <c r="DB247" s="33" t="s">
        <v>120</v>
      </c>
      <c r="DC247" s="25" t="s">
        <v>116</v>
      </c>
      <c r="DD247" s="34">
        <f t="shared" si="54"/>
        <v>2618</v>
      </c>
      <c r="DE247" t="s">
        <v>2093</v>
      </c>
      <c r="DF247" t="str">
        <f t="shared" si="55"/>
        <v>Singapore#Fund#Singapore VCC</v>
      </c>
      <c r="DG247" t="b">
        <f t="shared" si="56"/>
        <v>1</v>
      </c>
    </row>
    <row r="248" spans="1:111" ht="78.75" hidden="1" customHeight="1" x14ac:dyDescent="0.35">
      <c r="A248" s="126" t="s">
        <v>2044</v>
      </c>
      <c r="B248" s="18" t="s">
        <v>1188</v>
      </c>
      <c r="C248" s="18" t="s">
        <v>540</v>
      </c>
      <c r="D248" s="19" t="s">
        <v>2094</v>
      </c>
      <c r="E248" s="18"/>
      <c r="F248" s="20" t="s">
        <v>2095</v>
      </c>
      <c r="G248" s="20" t="s">
        <v>2096</v>
      </c>
      <c r="H248" s="20" t="s">
        <v>1016</v>
      </c>
      <c r="I248" s="20" t="s">
        <v>1671</v>
      </c>
      <c r="J248" s="20" t="s">
        <v>2097</v>
      </c>
      <c r="K248" s="20" t="s">
        <v>2098</v>
      </c>
      <c r="L248" s="20" t="s">
        <v>1674</v>
      </c>
      <c r="M248" s="20" t="s">
        <v>1675</v>
      </c>
      <c r="N248" s="20" t="s">
        <v>2099</v>
      </c>
      <c r="O248" s="20" t="s">
        <v>1677</v>
      </c>
      <c r="P248" s="20" t="s">
        <v>1678</v>
      </c>
      <c r="Q248" s="20" t="s">
        <v>1679</v>
      </c>
      <c r="R248" s="20" t="s">
        <v>1680</v>
      </c>
      <c r="S248" s="20" t="s">
        <v>2100</v>
      </c>
      <c r="T248" s="20" t="s">
        <v>1682</v>
      </c>
      <c r="U248" s="20" t="s">
        <v>1683</v>
      </c>
      <c r="V248" s="21" t="s">
        <v>267</v>
      </c>
      <c r="W248" s="21" t="s">
        <v>108</v>
      </c>
      <c r="X248" s="21" t="s">
        <v>109</v>
      </c>
      <c r="Y248" s="21" t="s">
        <v>2087</v>
      </c>
      <c r="Z248" s="21" t="s">
        <v>2088</v>
      </c>
      <c r="AA248" s="21" t="s">
        <v>1193</v>
      </c>
      <c r="AB248" s="21" t="s">
        <v>2101</v>
      </c>
      <c r="AC248" s="21" t="s">
        <v>2102</v>
      </c>
      <c r="AD248" s="28"/>
      <c r="AE248" s="23" t="s">
        <v>115</v>
      </c>
      <c r="AF248" s="28"/>
      <c r="AG248" s="23" t="s">
        <v>116</v>
      </c>
      <c r="AH248" s="28"/>
      <c r="AI248" s="25" t="s">
        <v>117</v>
      </c>
      <c r="AJ248" s="28"/>
      <c r="AK248" s="25" t="s">
        <v>117</v>
      </c>
      <c r="AL248" s="22">
        <v>0</v>
      </c>
      <c r="AM248" s="23" t="s">
        <v>115</v>
      </c>
      <c r="AN248" s="28"/>
      <c r="AO248" s="25" t="s">
        <v>117</v>
      </c>
      <c r="AP248" s="27" t="s">
        <v>118</v>
      </c>
      <c r="AQ248" s="23" t="s">
        <v>115</v>
      </c>
      <c r="AR248" s="28"/>
      <c r="AS248" s="23" t="s">
        <v>117</v>
      </c>
      <c r="AT248" s="27" t="s">
        <v>118</v>
      </c>
      <c r="AU248" s="23" t="s">
        <v>116</v>
      </c>
      <c r="AV248" s="27" t="s">
        <v>118</v>
      </c>
      <c r="AW248" s="23" t="s">
        <v>115</v>
      </c>
      <c r="AX248" s="27" t="s">
        <v>118</v>
      </c>
      <c r="AY248" s="23" t="s">
        <v>115</v>
      </c>
      <c r="AZ248" s="27" t="s">
        <v>118</v>
      </c>
      <c r="BA248" s="23" t="s">
        <v>115</v>
      </c>
      <c r="BB248" s="28"/>
      <c r="BC248" s="23" t="s">
        <v>115</v>
      </c>
      <c r="BD248" s="27" t="s">
        <v>118</v>
      </c>
      <c r="BE248" s="23" t="s">
        <v>115</v>
      </c>
      <c r="BF248" s="27" t="s">
        <v>118</v>
      </c>
      <c r="BG248" s="23" t="s">
        <v>115</v>
      </c>
      <c r="BH248" s="28"/>
      <c r="BI248" s="25" t="s">
        <v>117</v>
      </c>
      <c r="BJ248" s="28"/>
      <c r="BK248" s="25" t="s">
        <v>117</v>
      </c>
      <c r="BL248" s="28"/>
      <c r="BM248" s="25" t="s">
        <v>117</v>
      </c>
      <c r="BN248" s="28"/>
      <c r="BO248" s="25" t="s">
        <v>117</v>
      </c>
      <c r="BP248" s="28"/>
      <c r="BQ248" s="25" t="s">
        <v>117</v>
      </c>
      <c r="BR248" s="28"/>
      <c r="BS248" s="25" t="s">
        <v>117</v>
      </c>
      <c r="BT248" s="22">
        <v>15000</v>
      </c>
      <c r="BU248" s="25" t="s">
        <v>116</v>
      </c>
      <c r="BV248" s="28"/>
      <c r="BW248" s="25" t="s">
        <v>117</v>
      </c>
      <c r="BX248" s="28"/>
      <c r="BY248" s="25" t="s">
        <v>117</v>
      </c>
      <c r="BZ248" s="45">
        <v>0.45</v>
      </c>
      <c r="CA248" s="25" t="s">
        <v>116</v>
      </c>
      <c r="CB248" s="47">
        <v>2000</v>
      </c>
      <c r="CC248" s="25" t="s">
        <v>116</v>
      </c>
      <c r="CD248" s="45" t="s">
        <v>1011</v>
      </c>
      <c r="CE248" s="25" t="s">
        <v>116</v>
      </c>
      <c r="CF248" s="47">
        <v>250</v>
      </c>
      <c r="CG248" s="25" t="s">
        <v>116</v>
      </c>
      <c r="CH248" s="45" t="s">
        <v>1011</v>
      </c>
      <c r="CI248" s="25"/>
      <c r="CJ248" s="45" t="s">
        <v>1011</v>
      </c>
      <c r="CK248" s="29" t="s">
        <v>116</v>
      </c>
      <c r="CL248" s="47">
        <v>7500</v>
      </c>
      <c r="CM248" s="29" t="s">
        <v>116</v>
      </c>
      <c r="CN248" s="45" t="s">
        <v>1011</v>
      </c>
      <c r="CO248" s="25" t="s">
        <v>116</v>
      </c>
      <c r="CP248" s="30">
        <v>400</v>
      </c>
      <c r="CQ248" s="23" t="s">
        <v>115</v>
      </c>
      <c r="CR248" s="32"/>
      <c r="CS248" s="23" t="s">
        <v>117</v>
      </c>
      <c r="CT248" s="32"/>
      <c r="CU248" s="23" t="s">
        <v>117</v>
      </c>
      <c r="CV248" s="32"/>
      <c r="CW248" s="23" t="s">
        <v>117</v>
      </c>
      <c r="CX248" s="32"/>
      <c r="CY248" s="25" t="s">
        <v>117</v>
      </c>
      <c r="CZ248" s="32"/>
      <c r="DA248" s="25" t="s">
        <v>117</v>
      </c>
      <c r="DB248" s="33" t="s">
        <v>120</v>
      </c>
      <c r="DC248" s="25" t="s">
        <v>116</v>
      </c>
      <c r="DD248" s="34">
        <f t="shared" si="54"/>
        <v>1886</v>
      </c>
      <c r="DE248" t="s">
        <v>2103</v>
      </c>
      <c r="DF248" t="str">
        <f t="shared" si="55"/>
        <v>Singapore#Fund - compartment#Singapore VCC (Existing) — Sub-Fund Compartment</v>
      </c>
      <c r="DG248" t="b">
        <f t="shared" si="56"/>
        <v>1</v>
      </c>
    </row>
    <row r="249" spans="1:111" ht="78.75" customHeight="1" x14ac:dyDescent="0.35">
      <c r="A249" s="35" t="s">
        <v>2044</v>
      </c>
      <c r="B249" s="18" t="s">
        <v>1188</v>
      </c>
      <c r="C249" s="35" t="s">
        <v>141</v>
      </c>
      <c r="D249" s="36" t="s">
        <v>2104</v>
      </c>
      <c r="E249" s="35" t="s">
        <v>90</v>
      </c>
      <c r="F249" s="20" t="s">
        <v>171</v>
      </c>
      <c r="G249" s="20" t="s">
        <v>2105</v>
      </c>
      <c r="H249" s="20" t="s">
        <v>1394</v>
      </c>
      <c r="I249" s="20" t="s">
        <v>146</v>
      </c>
      <c r="J249" s="20" t="s">
        <v>2050</v>
      </c>
      <c r="K249" s="20" t="s">
        <v>96</v>
      </c>
      <c r="L249" s="20" t="s">
        <v>97</v>
      </c>
      <c r="M249" s="20" t="s">
        <v>98</v>
      </c>
      <c r="N249" s="20" t="s">
        <v>147</v>
      </c>
      <c r="O249" s="20" t="s">
        <v>148</v>
      </c>
      <c r="P249" s="20" t="s">
        <v>149</v>
      </c>
      <c r="Q249" s="20" t="s">
        <v>150</v>
      </c>
      <c r="R249" s="20" t="s">
        <v>151</v>
      </c>
      <c r="S249" s="20" t="s">
        <v>152</v>
      </c>
      <c r="T249" s="20" t="s">
        <v>153</v>
      </c>
      <c r="U249" s="20" t="s">
        <v>154</v>
      </c>
      <c r="V249" s="21" t="s">
        <v>267</v>
      </c>
      <c r="W249" s="21" t="s">
        <v>108</v>
      </c>
      <c r="X249" s="21" t="s">
        <v>109</v>
      </c>
      <c r="Y249" s="21" t="s">
        <v>2106</v>
      </c>
      <c r="Z249" s="21" t="s">
        <v>256</v>
      </c>
      <c r="AA249" s="21" t="s">
        <v>1086</v>
      </c>
      <c r="AB249" s="21" t="s">
        <v>2107</v>
      </c>
      <c r="AC249" s="21" t="s">
        <v>2108</v>
      </c>
      <c r="AE249" s="23" t="s">
        <v>115</v>
      </c>
      <c r="AF249" s="38"/>
      <c r="AG249" s="23" t="s">
        <v>116</v>
      </c>
      <c r="AH249" s="38"/>
      <c r="AI249" s="25" t="s">
        <v>117</v>
      </c>
      <c r="AJ249" s="38"/>
      <c r="AK249" s="25" t="s">
        <v>117</v>
      </c>
      <c r="AL249" s="22">
        <v>0</v>
      </c>
      <c r="AM249" s="23" t="s">
        <v>115</v>
      </c>
      <c r="AN249" s="38"/>
      <c r="AO249" s="25" t="s">
        <v>117</v>
      </c>
      <c r="AP249" s="39" t="s">
        <v>118</v>
      </c>
      <c r="AQ249" s="23" t="s">
        <v>115</v>
      </c>
      <c r="AR249" s="40"/>
      <c r="AS249" s="23" t="s">
        <v>117</v>
      </c>
      <c r="AT249" s="39" t="s">
        <v>118</v>
      </c>
      <c r="AU249" s="23" t="s">
        <v>116</v>
      </c>
      <c r="AV249" s="39" t="s">
        <v>118</v>
      </c>
      <c r="AW249" s="23" t="s">
        <v>115</v>
      </c>
      <c r="AX249" s="39" t="s">
        <v>118</v>
      </c>
      <c r="AY249" s="23" t="s">
        <v>115</v>
      </c>
      <c r="AZ249" s="39" t="s">
        <v>118</v>
      </c>
      <c r="BA249" s="23" t="s">
        <v>115</v>
      </c>
      <c r="BB249" s="40"/>
      <c r="BC249" s="23" t="s">
        <v>115</v>
      </c>
      <c r="BD249" s="39" t="s">
        <v>118</v>
      </c>
      <c r="BE249" s="23" t="s">
        <v>115</v>
      </c>
      <c r="BF249" s="39" t="s">
        <v>118</v>
      </c>
      <c r="BG249" s="23" t="s">
        <v>115</v>
      </c>
      <c r="BH249" s="40"/>
      <c r="BI249" s="25" t="s">
        <v>117</v>
      </c>
      <c r="BJ249" s="40"/>
      <c r="BK249" s="25" t="s">
        <v>117</v>
      </c>
      <c r="BL249" s="40"/>
      <c r="BM249" s="25" t="s">
        <v>117</v>
      </c>
      <c r="BN249" s="40"/>
      <c r="BO249" s="25" t="s">
        <v>117</v>
      </c>
      <c r="BP249" s="40"/>
      <c r="BQ249" s="25" t="s">
        <v>117</v>
      </c>
      <c r="BR249" s="37">
        <v>20000</v>
      </c>
      <c r="BS249" s="25" t="s">
        <v>115</v>
      </c>
      <c r="BT249" s="40"/>
      <c r="BU249" s="25" t="s">
        <v>117</v>
      </c>
      <c r="BV249" s="40"/>
      <c r="BW249" s="25" t="s">
        <v>117</v>
      </c>
      <c r="BX249" s="40"/>
      <c r="BY249" s="25" t="s">
        <v>117</v>
      </c>
      <c r="BZ249" s="46"/>
      <c r="CA249" s="25" t="s">
        <v>117</v>
      </c>
      <c r="CB249" s="45" t="s">
        <v>159</v>
      </c>
      <c r="CC249" s="25" t="s">
        <v>116</v>
      </c>
      <c r="CD249" s="40"/>
      <c r="CE249" s="25" t="s">
        <v>117</v>
      </c>
      <c r="CF249" s="40"/>
      <c r="CG249" s="25" t="s">
        <v>117</v>
      </c>
      <c r="CH249" s="151">
        <v>5000</v>
      </c>
      <c r="CI249" s="25" t="s">
        <v>116</v>
      </c>
      <c r="CJ249" s="151">
        <v>2500</v>
      </c>
      <c r="CK249" s="48" t="s">
        <v>116</v>
      </c>
      <c r="CL249" s="46">
        <v>1500</v>
      </c>
      <c r="CM249" s="48" t="s">
        <v>116</v>
      </c>
      <c r="CN249" s="46">
        <v>1500</v>
      </c>
      <c r="CO249" s="25" t="s">
        <v>116</v>
      </c>
      <c r="CP249" s="30">
        <v>400</v>
      </c>
      <c r="CQ249" s="23" t="s">
        <v>115</v>
      </c>
      <c r="CR249" s="32"/>
      <c r="CS249" s="23" t="s">
        <v>117</v>
      </c>
      <c r="CT249" s="32"/>
      <c r="CU249" s="23" t="s">
        <v>117</v>
      </c>
      <c r="CV249" s="32"/>
      <c r="CW249" s="23" t="s">
        <v>117</v>
      </c>
      <c r="CX249" s="32"/>
      <c r="CY249" s="25" t="s">
        <v>117</v>
      </c>
      <c r="CZ249" s="32"/>
      <c r="DA249" s="25" t="s">
        <v>117</v>
      </c>
      <c r="DB249" s="33" t="s">
        <v>120</v>
      </c>
      <c r="DC249" s="25" t="s">
        <v>116</v>
      </c>
      <c r="DD249" s="34">
        <f t="shared" si="54"/>
        <v>1943</v>
      </c>
      <c r="DE249" t="s">
        <v>2109</v>
      </c>
      <c r="DF249" t="str">
        <f t="shared" si="55"/>
        <v>Singapore#Fund#Singapore Unit Trust</v>
      </c>
      <c r="DG249" t="b">
        <f t="shared" si="56"/>
        <v>1</v>
      </c>
    </row>
    <row r="250" spans="1:111" ht="15" customHeight="1" x14ac:dyDescent="0.35">
      <c r="A250" s="42" t="s">
        <v>2044</v>
      </c>
      <c r="B250" s="18" t="s">
        <v>1188</v>
      </c>
      <c r="C250" s="42" t="s">
        <v>141</v>
      </c>
      <c r="D250" s="43" t="s">
        <v>2110</v>
      </c>
      <c r="E250" s="42" t="s">
        <v>90</v>
      </c>
      <c r="F250" s="20" t="s">
        <v>355</v>
      </c>
      <c r="G250" s="20" t="s">
        <v>2111</v>
      </c>
      <c r="H250" s="20" t="s">
        <v>1394</v>
      </c>
      <c r="I250" s="20" t="s">
        <v>146</v>
      </c>
      <c r="J250" s="20" t="s">
        <v>2050</v>
      </c>
      <c r="K250" s="20" t="s">
        <v>96</v>
      </c>
      <c r="L250" s="20" t="s">
        <v>97</v>
      </c>
      <c r="M250" s="20" t="s">
        <v>98</v>
      </c>
      <c r="N250" s="20" t="s">
        <v>147</v>
      </c>
      <c r="O250" s="20" t="s">
        <v>148</v>
      </c>
      <c r="P250" s="20" t="s">
        <v>149</v>
      </c>
      <c r="Q250" s="20" t="s">
        <v>150</v>
      </c>
      <c r="R250" s="20" t="s">
        <v>151</v>
      </c>
      <c r="S250" s="20" t="s">
        <v>152</v>
      </c>
      <c r="T250" s="20" t="s">
        <v>153</v>
      </c>
      <c r="U250" s="20" t="s">
        <v>154</v>
      </c>
      <c r="V250" s="21" t="s">
        <v>292</v>
      </c>
      <c r="W250" s="21" t="s">
        <v>108</v>
      </c>
      <c r="X250" s="21" t="s">
        <v>164</v>
      </c>
      <c r="Y250" s="21" t="s">
        <v>2068</v>
      </c>
      <c r="Z250" s="21" t="s">
        <v>111</v>
      </c>
      <c r="AA250" s="21" t="s">
        <v>166</v>
      </c>
      <c r="AB250" s="21" t="s">
        <v>2069</v>
      </c>
      <c r="AC250" s="21" t="s">
        <v>2070</v>
      </c>
      <c r="AE250" s="23" t="s">
        <v>115</v>
      </c>
      <c r="AF250" s="44"/>
      <c r="AG250" s="23" t="s">
        <v>116</v>
      </c>
      <c r="AH250" s="44"/>
      <c r="AI250" s="25" t="s">
        <v>117</v>
      </c>
      <c r="AJ250" s="44"/>
      <c r="AK250" s="25" t="s">
        <v>117</v>
      </c>
      <c r="AL250" s="22">
        <v>0</v>
      </c>
      <c r="AM250" s="23" t="s">
        <v>115</v>
      </c>
      <c r="AN250" s="44"/>
      <c r="AO250" s="25" t="s">
        <v>117</v>
      </c>
      <c r="AP250" s="45" t="s">
        <v>118</v>
      </c>
      <c r="AQ250" s="23" t="s">
        <v>115</v>
      </c>
      <c r="AR250" s="46"/>
      <c r="AS250" s="23" t="s">
        <v>117</v>
      </c>
      <c r="AT250" s="45" t="s">
        <v>118</v>
      </c>
      <c r="AU250" s="23" t="s">
        <v>116</v>
      </c>
      <c r="AV250" s="45" t="s">
        <v>118</v>
      </c>
      <c r="AW250" s="23" t="s">
        <v>115</v>
      </c>
      <c r="AX250" s="45" t="s">
        <v>118</v>
      </c>
      <c r="AY250" s="23" t="s">
        <v>115</v>
      </c>
      <c r="AZ250" s="45" t="s">
        <v>118</v>
      </c>
      <c r="BA250" s="23" t="s">
        <v>115</v>
      </c>
      <c r="BB250" s="46"/>
      <c r="BC250" s="23" t="s">
        <v>115</v>
      </c>
      <c r="BD250" s="45" t="s">
        <v>118</v>
      </c>
      <c r="BE250" s="23" t="s">
        <v>115</v>
      </c>
      <c r="BF250" s="45" t="s">
        <v>118</v>
      </c>
      <c r="BG250" s="23" t="s">
        <v>115</v>
      </c>
      <c r="BH250" s="46"/>
      <c r="BI250" s="25" t="s">
        <v>117</v>
      </c>
      <c r="BJ250" s="46"/>
      <c r="BK250" s="25" t="s">
        <v>117</v>
      </c>
      <c r="BL250" s="46"/>
      <c r="BM250" s="25" t="s">
        <v>117</v>
      </c>
      <c r="BN250" s="46"/>
      <c r="BO250" s="25" t="s">
        <v>117</v>
      </c>
      <c r="BP250" s="46"/>
      <c r="BQ250" s="25" t="s">
        <v>117</v>
      </c>
      <c r="BR250" s="47">
        <v>20000</v>
      </c>
      <c r="BS250" s="25" t="s">
        <v>115</v>
      </c>
      <c r="BT250" s="46"/>
      <c r="BU250" s="25" t="s">
        <v>117</v>
      </c>
      <c r="BV250" s="46"/>
      <c r="BW250" s="25" t="s">
        <v>117</v>
      </c>
      <c r="BX250" s="46"/>
      <c r="BY250" s="25" t="s">
        <v>117</v>
      </c>
      <c r="BZ250" s="46"/>
      <c r="CA250" s="25" t="s">
        <v>117</v>
      </c>
      <c r="CB250" s="45" t="s">
        <v>159</v>
      </c>
      <c r="CC250" s="25" t="s">
        <v>116</v>
      </c>
      <c r="CD250" s="46"/>
      <c r="CE250" s="25" t="s">
        <v>117</v>
      </c>
      <c r="CF250" s="46"/>
      <c r="CG250" s="25" t="s">
        <v>117</v>
      </c>
      <c r="CH250" s="151">
        <v>5000</v>
      </c>
      <c r="CI250" s="25" t="s">
        <v>116</v>
      </c>
      <c r="CJ250" s="151">
        <v>2500</v>
      </c>
      <c r="CK250" s="48" t="s">
        <v>116</v>
      </c>
      <c r="CL250" s="46">
        <v>1500</v>
      </c>
      <c r="CM250" s="48" t="s">
        <v>116</v>
      </c>
      <c r="CN250" s="46">
        <v>1500</v>
      </c>
      <c r="CO250" s="25" t="s">
        <v>116</v>
      </c>
      <c r="CP250" s="30">
        <v>400</v>
      </c>
      <c r="CQ250" s="23" t="s">
        <v>115</v>
      </c>
      <c r="CR250" s="32"/>
      <c r="CS250" s="23" t="s">
        <v>117</v>
      </c>
      <c r="CT250" s="32"/>
      <c r="CU250" s="23" t="s">
        <v>117</v>
      </c>
      <c r="CV250" s="32"/>
      <c r="CW250" s="23" t="s">
        <v>117</v>
      </c>
      <c r="CX250" s="32"/>
      <c r="CY250" s="25" t="s">
        <v>117</v>
      </c>
      <c r="CZ250" s="32"/>
      <c r="DA250" s="25" t="s">
        <v>117</v>
      </c>
      <c r="DB250" s="33" t="s">
        <v>120</v>
      </c>
      <c r="DC250" s="25" t="s">
        <v>116</v>
      </c>
      <c r="DD250" s="34">
        <f t="shared" si="54"/>
        <v>1943</v>
      </c>
      <c r="DE250" t="s">
        <v>2112</v>
      </c>
      <c r="DF250" t="str">
        <f t="shared" si="55"/>
        <v>Singapore#Fund#Singapore LP</v>
      </c>
      <c r="DG250" t="b">
        <f t="shared" si="56"/>
        <v>1</v>
      </c>
    </row>
    <row r="251" spans="1:111" ht="78.75" customHeight="1" x14ac:dyDescent="0.35">
      <c r="A251" s="35" t="s">
        <v>2044</v>
      </c>
      <c r="B251" s="18" t="s">
        <v>1188</v>
      </c>
      <c r="C251" s="35" t="s">
        <v>141</v>
      </c>
      <c r="D251" s="36" t="s">
        <v>2113</v>
      </c>
      <c r="E251" s="35" t="s">
        <v>90</v>
      </c>
      <c r="F251" s="20" t="s">
        <v>143</v>
      </c>
      <c r="G251" s="20" t="s">
        <v>2114</v>
      </c>
      <c r="H251" s="20" t="s">
        <v>1394</v>
      </c>
      <c r="I251" s="20" t="s">
        <v>146</v>
      </c>
      <c r="J251" s="20" t="s">
        <v>2050</v>
      </c>
      <c r="K251" s="20" t="s">
        <v>96</v>
      </c>
      <c r="L251" s="20" t="s">
        <v>97</v>
      </c>
      <c r="M251" s="20" t="s">
        <v>98</v>
      </c>
      <c r="N251" s="20" t="s">
        <v>147</v>
      </c>
      <c r="O251" s="20" t="s">
        <v>148</v>
      </c>
      <c r="P251" s="20" t="s">
        <v>149</v>
      </c>
      <c r="Q251" s="20" t="s">
        <v>150</v>
      </c>
      <c r="R251" s="20" t="s">
        <v>151</v>
      </c>
      <c r="S251" s="20" t="s">
        <v>152</v>
      </c>
      <c r="T251" s="20" t="s">
        <v>153</v>
      </c>
      <c r="U251" s="20" t="s">
        <v>154</v>
      </c>
      <c r="V251" s="21" t="s">
        <v>292</v>
      </c>
      <c r="W251" s="21" t="s">
        <v>108</v>
      </c>
      <c r="X251" s="21" t="s">
        <v>109</v>
      </c>
      <c r="Y251" s="21" t="s">
        <v>2115</v>
      </c>
      <c r="Z251" s="21" t="s">
        <v>256</v>
      </c>
      <c r="AA251" s="21" t="s">
        <v>112</v>
      </c>
      <c r="AB251" s="21" t="s">
        <v>2116</v>
      </c>
      <c r="AC251" s="21" t="s">
        <v>2117</v>
      </c>
      <c r="AE251" s="23" t="s">
        <v>115</v>
      </c>
      <c r="AF251" s="38"/>
      <c r="AG251" s="23" t="s">
        <v>116</v>
      </c>
      <c r="AH251" s="38"/>
      <c r="AI251" s="25" t="s">
        <v>117</v>
      </c>
      <c r="AJ251" s="38"/>
      <c r="AK251" s="25" t="s">
        <v>117</v>
      </c>
      <c r="AL251" s="22">
        <v>0</v>
      </c>
      <c r="AM251" s="23" t="s">
        <v>115</v>
      </c>
      <c r="AN251" s="38"/>
      <c r="AO251" s="25" t="s">
        <v>117</v>
      </c>
      <c r="AP251" s="39" t="s">
        <v>118</v>
      </c>
      <c r="AQ251" s="23" t="s">
        <v>115</v>
      </c>
      <c r="AR251" s="40"/>
      <c r="AS251" s="23" t="s">
        <v>117</v>
      </c>
      <c r="AT251" s="39" t="s">
        <v>118</v>
      </c>
      <c r="AU251" s="23" t="s">
        <v>116</v>
      </c>
      <c r="AV251" s="39" t="s">
        <v>118</v>
      </c>
      <c r="AW251" s="23" t="s">
        <v>115</v>
      </c>
      <c r="AX251" s="39" t="s">
        <v>118</v>
      </c>
      <c r="AY251" s="23" t="s">
        <v>115</v>
      </c>
      <c r="AZ251" s="39" t="s">
        <v>118</v>
      </c>
      <c r="BA251" s="23" t="s">
        <v>115</v>
      </c>
      <c r="BB251" s="40"/>
      <c r="BC251" s="23" t="s">
        <v>115</v>
      </c>
      <c r="BD251" s="39" t="s">
        <v>118</v>
      </c>
      <c r="BE251" s="23" t="s">
        <v>115</v>
      </c>
      <c r="BF251" s="39" t="s">
        <v>118</v>
      </c>
      <c r="BG251" s="23" t="s">
        <v>115</v>
      </c>
      <c r="BH251" s="40"/>
      <c r="BI251" s="25" t="s">
        <v>117</v>
      </c>
      <c r="BJ251" s="40"/>
      <c r="BK251" s="25" t="s">
        <v>117</v>
      </c>
      <c r="BL251" s="40"/>
      <c r="BM251" s="25" t="s">
        <v>117</v>
      </c>
      <c r="BN251" s="40"/>
      <c r="BO251" s="25" t="s">
        <v>117</v>
      </c>
      <c r="BP251" s="40"/>
      <c r="BQ251" s="25" t="s">
        <v>117</v>
      </c>
      <c r="BR251" s="37">
        <v>20000</v>
      </c>
      <c r="BS251" s="25" t="s">
        <v>115</v>
      </c>
      <c r="BT251" s="40"/>
      <c r="BU251" s="25" t="s">
        <v>117</v>
      </c>
      <c r="BV251" s="40"/>
      <c r="BW251" s="25" t="s">
        <v>117</v>
      </c>
      <c r="BX251" s="40"/>
      <c r="BY251" s="25" t="s">
        <v>117</v>
      </c>
      <c r="BZ251" s="46"/>
      <c r="CA251" s="25" t="s">
        <v>117</v>
      </c>
      <c r="CB251" s="45" t="s">
        <v>159</v>
      </c>
      <c r="CC251" s="25" t="s">
        <v>116</v>
      </c>
      <c r="CD251" s="40"/>
      <c r="CE251" s="25" t="s">
        <v>117</v>
      </c>
      <c r="CF251" s="40"/>
      <c r="CG251" s="25" t="s">
        <v>117</v>
      </c>
      <c r="CH251" s="151">
        <v>5000</v>
      </c>
      <c r="CI251" s="25" t="s">
        <v>116</v>
      </c>
      <c r="CJ251" s="151">
        <v>2500</v>
      </c>
      <c r="CK251" s="48" t="s">
        <v>116</v>
      </c>
      <c r="CL251" s="46">
        <v>1500</v>
      </c>
      <c r="CM251" s="48" t="s">
        <v>116</v>
      </c>
      <c r="CN251" s="46">
        <v>1500</v>
      </c>
      <c r="CO251" s="25" t="s">
        <v>116</v>
      </c>
      <c r="CP251" s="30">
        <v>400</v>
      </c>
      <c r="CQ251" s="23" t="s">
        <v>115</v>
      </c>
      <c r="CR251" s="32"/>
      <c r="CS251" s="23" t="s">
        <v>117</v>
      </c>
      <c r="CT251" s="32"/>
      <c r="CU251" s="23" t="s">
        <v>117</v>
      </c>
      <c r="CV251" s="32"/>
      <c r="CW251" s="23" t="s">
        <v>117</v>
      </c>
      <c r="CX251" s="32"/>
      <c r="CY251" s="25" t="s">
        <v>117</v>
      </c>
      <c r="CZ251" s="32"/>
      <c r="DA251" s="25" t="s">
        <v>117</v>
      </c>
      <c r="DB251" s="33" t="s">
        <v>120</v>
      </c>
      <c r="DC251" s="25" t="s">
        <v>116</v>
      </c>
      <c r="DD251" s="34">
        <f t="shared" si="54"/>
        <v>1943</v>
      </c>
      <c r="DE251" t="s">
        <v>2118</v>
      </c>
      <c r="DF251" t="str">
        <f t="shared" si="55"/>
        <v>Singapore#Fund#Singapore Ltd</v>
      </c>
      <c r="DG251" t="b">
        <f t="shared" si="56"/>
        <v>1</v>
      </c>
    </row>
    <row r="252" spans="1:111" ht="78.75" customHeight="1" x14ac:dyDescent="0.35">
      <c r="A252" s="42" t="s">
        <v>2044</v>
      </c>
      <c r="B252" s="18" t="s">
        <v>1188</v>
      </c>
      <c r="C252" s="42" t="s">
        <v>141</v>
      </c>
      <c r="D252" s="43" t="s">
        <v>2119</v>
      </c>
      <c r="E252" s="42" t="s">
        <v>90</v>
      </c>
      <c r="F252" s="20" t="s">
        <v>2120</v>
      </c>
      <c r="G252" s="20" t="s">
        <v>2121</v>
      </c>
      <c r="H252" s="20" t="s">
        <v>1394</v>
      </c>
      <c r="I252" s="20" t="s">
        <v>146</v>
      </c>
      <c r="J252" s="20" t="s">
        <v>2050</v>
      </c>
      <c r="K252" s="20" t="s">
        <v>96</v>
      </c>
      <c r="L252" s="20" t="s">
        <v>97</v>
      </c>
      <c r="M252" s="20" t="s">
        <v>98</v>
      </c>
      <c r="N252" s="20" t="s">
        <v>147</v>
      </c>
      <c r="O252" s="20" t="s">
        <v>148</v>
      </c>
      <c r="P252" s="20" t="s">
        <v>149</v>
      </c>
      <c r="Q252" s="20" t="s">
        <v>150</v>
      </c>
      <c r="R252" s="20" t="s">
        <v>151</v>
      </c>
      <c r="S252" s="20" t="s">
        <v>152</v>
      </c>
      <c r="T252" s="20" t="s">
        <v>153</v>
      </c>
      <c r="U252" s="20" t="s">
        <v>154</v>
      </c>
      <c r="V252" s="21" t="s">
        <v>300</v>
      </c>
      <c r="W252" s="21" t="s">
        <v>108</v>
      </c>
      <c r="X252" s="21" t="s">
        <v>136</v>
      </c>
      <c r="Y252" s="21" t="s">
        <v>2122</v>
      </c>
      <c r="Z252" s="21" t="s">
        <v>2123</v>
      </c>
      <c r="AA252" s="21" t="s">
        <v>2124</v>
      </c>
      <c r="AB252" s="21" t="s">
        <v>2125</v>
      </c>
      <c r="AC252" s="21" t="s">
        <v>2126</v>
      </c>
      <c r="AE252" s="23" t="s">
        <v>115</v>
      </c>
      <c r="AF252" s="44"/>
      <c r="AG252" s="23" t="s">
        <v>116</v>
      </c>
      <c r="AH252" s="44"/>
      <c r="AI252" s="25" t="s">
        <v>117</v>
      </c>
      <c r="AJ252" s="44"/>
      <c r="AK252" s="25" t="s">
        <v>117</v>
      </c>
      <c r="AL252" s="22">
        <v>0</v>
      </c>
      <c r="AM252" s="23" t="s">
        <v>115</v>
      </c>
      <c r="AN252" s="44"/>
      <c r="AO252" s="25" t="s">
        <v>117</v>
      </c>
      <c r="AP252" s="45" t="s">
        <v>118</v>
      </c>
      <c r="AQ252" s="23" t="s">
        <v>115</v>
      </c>
      <c r="AR252" s="46"/>
      <c r="AS252" s="23" t="s">
        <v>117</v>
      </c>
      <c r="AT252" s="45" t="s">
        <v>118</v>
      </c>
      <c r="AU252" s="23" t="s">
        <v>116</v>
      </c>
      <c r="AV252" s="45" t="s">
        <v>118</v>
      </c>
      <c r="AW252" s="23" t="s">
        <v>115</v>
      </c>
      <c r="AX252" s="45" t="s">
        <v>118</v>
      </c>
      <c r="AY252" s="23" t="s">
        <v>115</v>
      </c>
      <c r="AZ252" s="45" t="s">
        <v>118</v>
      </c>
      <c r="BA252" s="23" t="s">
        <v>115</v>
      </c>
      <c r="BB252" s="46"/>
      <c r="BC252" s="23" t="s">
        <v>115</v>
      </c>
      <c r="BD252" s="45" t="s">
        <v>118</v>
      </c>
      <c r="BE252" s="23" t="s">
        <v>115</v>
      </c>
      <c r="BF252" s="45" t="s">
        <v>118</v>
      </c>
      <c r="BG252" s="23" t="s">
        <v>115</v>
      </c>
      <c r="BH252" s="46"/>
      <c r="BI252" s="25" t="s">
        <v>117</v>
      </c>
      <c r="BJ252" s="46"/>
      <c r="BK252" s="25" t="s">
        <v>117</v>
      </c>
      <c r="BL252" s="46"/>
      <c r="BM252" s="25" t="s">
        <v>117</v>
      </c>
      <c r="BN252" s="46"/>
      <c r="BO252" s="25" t="s">
        <v>117</v>
      </c>
      <c r="BP252" s="46"/>
      <c r="BQ252" s="25" t="s">
        <v>117</v>
      </c>
      <c r="BR252" s="47">
        <v>20000</v>
      </c>
      <c r="BS252" s="25" t="s">
        <v>115</v>
      </c>
      <c r="BT252" s="46"/>
      <c r="BU252" s="25" t="s">
        <v>117</v>
      </c>
      <c r="BV252" s="46"/>
      <c r="BW252" s="25" t="s">
        <v>117</v>
      </c>
      <c r="BX252" s="46"/>
      <c r="BY252" s="25" t="s">
        <v>117</v>
      </c>
      <c r="BZ252" s="46"/>
      <c r="CA252" s="25" t="s">
        <v>117</v>
      </c>
      <c r="CB252" s="45" t="s">
        <v>159</v>
      </c>
      <c r="CC252" s="25" t="s">
        <v>116</v>
      </c>
      <c r="CD252" s="46"/>
      <c r="CE252" s="25" t="s">
        <v>117</v>
      </c>
      <c r="CF252" s="46"/>
      <c r="CG252" s="25" t="s">
        <v>117</v>
      </c>
      <c r="CH252" s="151">
        <v>5000</v>
      </c>
      <c r="CI252" s="25" t="s">
        <v>116</v>
      </c>
      <c r="CJ252" s="151">
        <v>2500</v>
      </c>
      <c r="CK252" s="48" t="s">
        <v>116</v>
      </c>
      <c r="CL252" s="46">
        <v>1500</v>
      </c>
      <c r="CM252" s="48" t="s">
        <v>116</v>
      </c>
      <c r="CN252" s="46">
        <v>1500</v>
      </c>
      <c r="CO252" s="25" t="s">
        <v>116</v>
      </c>
      <c r="CP252" s="30">
        <v>400</v>
      </c>
      <c r="CQ252" s="23" t="s">
        <v>115</v>
      </c>
      <c r="CR252" s="32"/>
      <c r="CS252" s="23" t="s">
        <v>117</v>
      </c>
      <c r="CT252" s="32"/>
      <c r="CU252" s="23" t="s">
        <v>117</v>
      </c>
      <c r="CV252" s="32"/>
      <c r="CW252" s="23" t="s">
        <v>117</v>
      </c>
      <c r="CX252" s="32"/>
      <c r="CY252" s="25" t="s">
        <v>117</v>
      </c>
      <c r="CZ252" s="32"/>
      <c r="DA252" s="25" t="s">
        <v>117</v>
      </c>
      <c r="DB252" s="33" t="s">
        <v>120</v>
      </c>
      <c r="DC252" s="25" t="s">
        <v>116</v>
      </c>
      <c r="DD252" s="34">
        <f t="shared" si="54"/>
        <v>1943</v>
      </c>
      <c r="DE252" t="s">
        <v>2127</v>
      </c>
      <c r="DF252" t="str">
        <f t="shared" si="55"/>
        <v>Singapore#Fund#Singapore Business Trust / REIT</v>
      </c>
      <c r="DG252" t="b">
        <f t="shared" si="56"/>
        <v>1</v>
      </c>
    </row>
    <row r="253" spans="1:111" ht="78.75" hidden="1" customHeight="1" x14ac:dyDescent="0.35">
      <c r="A253" s="184" t="s">
        <v>2128</v>
      </c>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c r="AA253" s="184"/>
      <c r="AB253" s="184"/>
      <c r="AC253" s="184"/>
      <c r="AD253" s="184"/>
      <c r="AE253" s="184"/>
      <c r="AF253" s="184"/>
      <c r="AG253" s="184"/>
      <c r="AH253" s="184"/>
      <c r="AI253" s="184"/>
      <c r="AJ253" s="184"/>
      <c r="AK253" s="184"/>
      <c r="AL253" s="184"/>
      <c r="AM253" s="184"/>
      <c r="AN253" s="184"/>
      <c r="AO253" s="184"/>
      <c r="AP253" s="184"/>
      <c r="AQ253" s="184"/>
      <c r="AR253" s="184"/>
      <c r="AS253" s="184"/>
      <c r="AT253" s="184"/>
      <c r="AU253" s="184"/>
      <c r="AV253" s="184"/>
      <c r="AW253" s="184"/>
      <c r="AX253" s="184"/>
      <c r="AY253" s="184"/>
      <c r="AZ253" s="184"/>
      <c r="BA253" s="184"/>
      <c r="BB253" s="184"/>
      <c r="BC253" s="184"/>
      <c r="BD253" s="184"/>
      <c r="BE253" s="184"/>
      <c r="BF253" s="184"/>
      <c r="BG253" s="184"/>
      <c r="BH253" s="184"/>
      <c r="BI253" s="184"/>
      <c r="BJ253" s="184"/>
      <c r="BK253" s="184"/>
      <c r="BL253" s="184"/>
      <c r="BM253" s="184"/>
      <c r="BN253" s="184"/>
      <c r="BO253" s="184"/>
      <c r="BP253" s="184"/>
      <c r="BQ253" s="184"/>
      <c r="BR253" s="184"/>
      <c r="BS253" s="184"/>
      <c r="BT253" s="184"/>
      <c r="BU253" s="184"/>
      <c r="BV253" s="184"/>
      <c r="BW253" s="184"/>
      <c r="BX253" s="184"/>
      <c r="BY253" s="184"/>
      <c r="BZ253" s="184"/>
      <c r="CA253" s="184"/>
      <c r="CB253" s="184"/>
      <c r="CC253" s="184"/>
      <c r="CD253" s="184"/>
      <c r="CE253" s="184"/>
      <c r="CF253" s="184"/>
      <c r="CG253" s="184"/>
      <c r="CH253" s="184"/>
      <c r="CI253" s="184"/>
      <c r="CJ253" s="184"/>
      <c r="CK253" s="184"/>
      <c r="CL253" s="184"/>
      <c r="CM253" s="184"/>
      <c r="CN253" s="184"/>
      <c r="CO253" s="184"/>
      <c r="CP253" s="184"/>
      <c r="CQ253" s="184"/>
      <c r="CR253" s="184"/>
      <c r="CS253" s="184"/>
      <c r="CT253" s="184"/>
      <c r="CU253" s="184"/>
      <c r="CV253" s="184"/>
      <c r="CW253" s="184"/>
      <c r="CX253" s="184"/>
      <c r="CY253" s="184"/>
      <c r="CZ253" s="184"/>
      <c r="DA253" s="184"/>
      <c r="DB253" s="184"/>
      <c r="DC253" s="184"/>
      <c r="DE253" t="s">
        <v>85</v>
      </c>
      <c r="DF253" t="str">
        <f>A235&amp;"#"&amp;C235&amp;"#"&amp;D235</f>
        <v>Saudi Arabia#Company#Saudi Arabia LLC</v>
      </c>
    </row>
    <row r="254" spans="1:111" ht="78.75" hidden="1" customHeight="1" x14ac:dyDescent="0.35">
      <c r="A254" s="42" t="s">
        <v>2129</v>
      </c>
      <c r="B254" s="35" t="s">
        <v>1112</v>
      </c>
      <c r="C254" s="42" t="s">
        <v>88</v>
      </c>
      <c r="D254" s="43" t="s">
        <v>2130</v>
      </c>
      <c r="E254" s="42" t="s">
        <v>90</v>
      </c>
      <c r="F254" s="20" t="s">
        <v>900</v>
      </c>
      <c r="G254" s="20" t="s">
        <v>2131</v>
      </c>
      <c r="H254" s="20" t="s">
        <v>93</v>
      </c>
      <c r="I254" s="20" t="s">
        <v>878</v>
      </c>
      <c r="J254" s="20" t="s">
        <v>2132</v>
      </c>
      <c r="K254" s="20" t="s">
        <v>96</v>
      </c>
      <c r="L254" s="20" t="s">
        <v>97</v>
      </c>
      <c r="M254" s="20" t="s">
        <v>98</v>
      </c>
      <c r="N254" s="20" t="s">
        <v>2133</v>
      </c>
      <c r="O254" s="20" t="s">
        <v>100</v>
      </c>
      <c r="P254" s="20" t="s">
        <v>101</v>
      </c>
      <c r="Q254" s="20" t="s">
        <v>102</v>
      </c>
      <c r="R254" s="20" t="s">
        <v>515</v>
      </c>
      <c r="S254" s="20" t="s">
        <v>516</v>
      </c>
      <c r="T254" s="20" t="s">
        <v>105</v>
      </c>
      <c r="U254" s="20" t="s">
        <v>517</v>
      </c>
      <c r="V254" s="21" t="s">
        <v>518</v>
      </c>
      <c r="W254" s="21" t="s">
        <v>108</v>
      </c>
      <c r="X254" s="21" t="s">
        <v>109</v>
      </c>
      <c r="Y254" s="21" t="s">
        <v>2134</v>
      </c>
      <c r="Z254" s="21" t="s">
        <v>889</v>
      </c>
      <c r="AA254" s="21" t="s">
        <v>112</v>
      </c>
      <c r="AB254" s="21" t="s">
        <v>2135</v>
      </c>
      <c r="AC254" s="21" t="s">
        <v>2136</v>
      </c>
      <c r="AD254" s="47">
        <v>3200</v>
      </c>
      <c r="AE254" s="23" t="s">
        <v>115</v>
      </c>
      <c r="AF254" s="44"/>
      <c r="AG254" s="23" t="s">
        <v>116</v>
      </c>
      <c r="AH254" s="44"/>
      <c r="AI254" s="25" t="s">
        <v>117</v>
      </c>
      <c r="AJ254" s="44"/>
      <c r="AK254" s="25" t="s">
        <v>117</v>
      </c>
      <c r="AL254" s="22">
        <v>0</v>
      </c>
      <c r="AM254" s="23" t="s">
        <v>115</v>
      </c>
      <c r="AN254" s="44"/>
      <c r="AO254" s="25" t="s">
        <v>117</v>
      </c>
      <c r="AP254" s="47">
        <v>2600</v>
      </c>
      <c r="AQ254" s="23" t="s">
        <v>115</v>
      </c>
      <c r="AR254" s="44"/>
      <c r="AS254" s="23" t="s">
        <v>117</v>
      </c>
      <c r="AT254" s="45" t="s">
        <v>118</v>
      </c>
      <c r="AU254" s="23" t="s">
        <v>116</v>
      </c>
      <c r="AV254" s="45" t="s">
        <v>118</v>
      </c>
      <c r="AW254" s="23" t="s">
        <v>115</v>
      </c>
      <c r="AX254" s="45" t="s">
        <v>118</v>
      </c>
      <c r="AY254" s="23" t="s">
        <v>115</v>
      </c>
      <c r="AZ254" s="45" t="s">
        <v>118</v>
      </c>
      <c r="BA254" s="23" t="s">
        <v>115</v>
      </c>
      <c r="BB254" s="46"/>
      <c r="BC254" s="23" t="s">
        <v>115</v>
      </c>
      <c r="BD254" s="45" t="s">
        <v>118</v>
      </c>
      <c r="BE254" s="23" t="s">
        <v>115</v>
      </c>
      <c r="BF254" s="45" t="s">
        <v>118</v>
      </c>
      <c r="BG254" s="23" t="s">
        <v>115</v>
      </c>
      <c r="BH254" s="46"/>
      <c r="BI254" s="25" t="s">
        <v>117</v>
      </c>
      <c r="BJ254" s="46"/>
      <c r="BK254" s="25" t="s">
        <v>117</v>
      </c>
      <c r="BL254" s="46"/>
      <c r="BM254" s="25" t="s">
        <v>117</v>
      </c>
      <c r="BN254" s="46"/>
      <c r="BO254" s="25" t="s">
        <v>117</v>
      </c>
      <c r="BP254" s="46"/>
      <c r="BQ254" s="25" t="s">
        <v>117</v>
      </c>
      <c r="BR254" s="46"/>
      <c r="BS254" s="25" t="s">
        <v>117</v>
      </c>
      <c r="BT254" s="46"/>
      <c r="BU254" s="25" t="s">
        <v>117</v>
      </c>
      <c r="BV254" s="46"/>
      <c r="BW254" s="25" t="s">
        <v>117</v>
      </c>
      <c r="BX254" s="46"/>
      <c r="BY254" s="25" t="s">
        <v>117</v>
      </c>
      <c r="BZ254" s="46"/>
      <c r="CA254" s="25" t="s">
        <v>117</v>
      </c>
      <c r="CB254" s="46"/>
      <c r="CC254" s="25" t="s">
        <v>117</v>
      </c>
      <c r="CD254" s="46"/>
      <c r="CE254" s="25" t="s">
        <v>117</v>
      </c>
      <c r="CF254" s="46"/>
      <c r="CG254" s="25" t="s">
        <v>117</v>
      </c>
      <c r="CH254" s="46"/>
      <c r="CI254" s="25"/>
      <c r="CJ254" s="46"/>
      <c r="CK254" s="48" t="s">
        <v>117</v>
      </c>
      <c r="CL254" s="46"/>
      <c r="CM254" s="48" t="s">
        <v>117</v>
      </c>
      <c r="CN254" s="46"/>
      <c r="CO254" s="25" t="s">
        <v>117</v>
      </c>
      <c r="CP254" s="30">
        <v>400</v>
      </c>
      <c r="CQ254" s="23" t="s">
        <v>115</v>
      </c>
      <c r="CR254" s="32"/>
      <c r="CS254" s="23" t="s">
        <v>117</v>
      </c>
      <c r="CT254" s="32"/>
      <c r="CU254" s="23" t="s">
        <v>117</v>
      </c>
      <c r="CV254" s="32"/>
      <c r="CW254" s="23" t="s">
        <v>117</v>
      </c>
      <c r="CX254" s="32"/>
      <c r="CY254" s="25" t="s">
        <v>117</v>
      </c>
      <c r="CZ254" s="32"/>
      <c r="DA254" s="25" t="s">
        <v>117</v>
      </c>
      <c r="DB254" s="33" t="s">
        <v>120</v>
      </c>
      <c r="DC254" s="25" t="s">
        <v>116</v>
      </c>
      <c r="DD254" s="34">
        <f t="shared" ref="DD254:DD260" si="57">ROUND(0.075*SUM(AD254,AF254,AH254,AJ254,AL254,AN254,AP254,AR254,AT254,AV254,AX254,AZ254,BB254,BR254,BT254,BV254,BX254,BZ254,CB254,CD254,CF254,CJ254,CL254,CN254,CP254,CR254,CT254,CV254,CX254,CZ254),0)</f>
        <v>465</v>
      </c>
      <c r="DE254" t="s">
        <v>2137</v>
      </c>
      <c r="DF254" t="str">
        <f t="shared" ref="DF254:DF260" si="58">A254&amp;"#"&amp;C254&amp;"#"&amp;D254</f>
        <v>South Dakota#Company#South Dakota LLC single-member Non-US Manager</v>
      </c>
      <c r="DG254" t="b">
        <f t="shared" ref="DG254:DG260" si="59">DE254=DF254</f>
        <v>1</v>
      </c>
    </row>
    <row r="255" spans="1:111" ht="78.75" hidden="1" customHeight="1" x14ac:dyDescent="0.35">
      <c r="A255" s="35" t="s">
        <v>2129</v>
      </c>
      <c r="B255" s="35" t="s">
        <v>1112</v>
      </c>
      <c r="C255" s="35" t="s">
        <v>88</v>
      </c>
      <c r="D255" s="36" t="s">
        <v>2138</v>
      </c>
      <c r="E255" s="35" t="s">
        <v>90</v>
      </c>
      <c r="F255" s="20" t="s">
        <v>876</v>
      </c>
      <c r="G255" s="20" t="s">
        <v>2139</v>
      </c>
      <c r="H255" s="20" t="s">
        <v>93</v>
      </c>
      <c r="I255" s="20" t="s">
        <v>878</v>
      </c>
      <c r="J255" s="20" t="s">
        <v>2132</v>
      </c>
      <c r="K255" s="20" t="s">
        <v>96</v>
      </c>
      <c r="L255" s="20" t="s">
        <v>97</v>
      </c>
      <c r="M255" s="20" t="s">
        <v>98</v>
      </c>
      <c r="N255" s="20" t="s">
        <v>2133</v>
      </c>
      <c r="O255" s="20" t="s">
        <v>100</v>
      </c>
      <c r="P255" s="20" t="s">
        <v>101</v>
      </c>
      <c r="Q255" s="20" t="s">
        <v>102</v>
      </c>
      <c r="R255" s="20" t="s">
        <v>515</v>
      </c>
      <c r="S255" s="20" t="s">
        <v>516</v>
      </c>
      <c r="T255" s="20" t="s">
        <v>105</v>
      </c>
      <c r="U255" s="20" t="s">
        <v>517</v>
      </c>
      <c r="V255" s="21" t="s">
        <v>518</v>
      </c>
      <c r="W255" s="21" t="s">
        <v>108</v>
      </c>
      <c r="X255" s="21" t="s">
        <v>109</v>
      </c>
      <c r="Y255" s="21" t="s">
        <v>2134</v>
      </c>
      <c r="Z255" s="21" t="s">
        <v>889</v>
      </c>
      <c r="AA255" s="21" t="s">
        <v>191</v>
      </c>
      <c r="AB255" s="21" t="s">
        <v>2140</v>
      </c>
      <c r="AC255" s="21" t="s">
        <v>2141</v>
      </c>
      <c r="AD255" s="37">
        <v>3200</v>
      </c>
      <c r="AE255" s="23" t="s">
        <v>115</v>
      </c>
      <c r="AF255" s="38"/>
      <c r="AG255" s="23" t="s">
        <v>116</v>
      </c>
      <c r="AH255" s="38"/>
      <c r="AI255" s="25" t="s">
        <v>117</v>
      </c>
      <c r="AJ255" s="38"/>
      <c r="AK255" s="25" t="s">
        <v>117</v>
      </c>
      <c r="AL255" s="22">
        <v>0</v>
      </c>
      <c r="AM255" s="23" t="s">
        <v>115</v>
      </c>
      <c r="AN255" s="38"/>
      <c r="AO255" s="25" t="s">
        <v>117</v>
      </c>
      <c r="AP255" s="37">
        <v>2600</v>
      </c>
      <c r="AQ255" s="23" t="s">
        <v>115</v>
      </c>
      <c r="AR255" s="38"/>
      <c r="AS255" s="23" t="s">
        <v>117</v>
      </c>
      <c r="AT255" s="39" t="s">
        <v>118</v>
      </c>
      <c r="AU255" s="23" t="s">
        <v>116</v>
      </c>
      <c r="AV255" s="39" t="s">
        <v>118</v>
      </c>
      <c r="AW255" s="23" t="s">
        <v>115</v>
      </c>
      <c r="AX255" s="39" t="s">
        <v>118</v>
      </c>
      <c r="AY255" s="23" t="s">
        <v>115</v>
      </c>
      <c r="AZ255" s="39" t="s">
        <v>118</v>
      </c>
      <c r="BA255" s="23" t="s">
        <v>115</v>
      </c>
      <c r="BB255" s="40"/>
      <c r="BC255" s="23" t="s">
        <v>115</v>
      </c>
      <c r="BD255" s="39" t="s">
        <v>118</v>
      </c>
      <c r="BE255" s="23" t="s">
        <v>115</v>
      </c>
      <c r="BF255" s="39" t="s">
        <v>118</v>
      </c>
      <c r="BG255" s="23" t="s">
        <v>115</v>
      </c>
      <c r="BH255" s="40"/>
      <c r="BI255" s="25" t="s">
        <v>117</v>
      </c>
      <c r="BJ255" s="40"/>
      <c r="BK255" s="25" t="s">
        <v>117</v>
      </c>
      <c r="BL255" s="40"/>
      <c r="BM255" s="25" t="s">
        <v>117</v>
      </c>
      <c r="BN255" s="40"/>
      <c r="BO255" s="25" t="s">
        <v>117</v>
      </c>
      <c r="BP255" s="40"/>
      <c r="BQ255" s="25" t="s">
        <v>117</v>
      </c>
      <c r="BR255" s="40"/>
      <c r="BS255" s="25" t="s">
        <v>117</v>
      </c>
      <c r="BT255" s="40"/>
      <c r="BU255" s="25" t="s">
        <v>117</v>
      </c>
      <c r="BV255" s="40"/>
      <c r="BW255" s="25" t="s">
        <v>117</v>
      </c>
      <c r="BX255" s="40"/>
      <c r="BY255" s="25" t="s">
        <v>117</v>
      </c>
      <c r="BZ255" s="40"/>
      <c r="CA255" s="25" t="s">
        <v>117</v>
      </c>
      <c r="CB255" s="40"/>
      <c r="CC255" s="25" t="s">
        <v>117</v>
      </c>
      <c r="CD255" s="40"/>
      <c r="CE255" s="25" t="s">
        <v>117</v>
      </c>
      <c r="CF255" s="40"/>
      <c r="CG255" s="25" t="s">
        <v>117</v>
      </c>
      <c r="CH255" s="40"/>
      <c r="CI255" s="25"/>
      <c r="CJ255" s="40"/>
      <c r="CK255" s="41" t="s">
        <v>117</v>
      </c>
      <c r="CL255" s="40"/>
      <c r="CM255" s="41" t="s">
        <v>117</v>
      </c>
      <c r="CN255" s="40"/>
      <c r="CO255" s="25" t="s">
        <v>117</v>
      </c>
      <c r="CP255" s="30">
        <v>400</v>
      </c>
      <c r="CQ255" s="23" t="s">
        <v>115</v>
      </c>
      <c r="CR255" s="32"/>
      <c r="CS255" s="23" t="s">
        <v>117</v>
      </c>
      <c r="CT255" s="32"/>
      <c r="CU255" s="23" t="s">
        <v>117</v>
      </c>
      <c r="CV255" s="32"/>
      <c r="CW255" s="23" t="s">
        <v>117</v>
      </c>
      <c r="CX255" s="32"/>
      <c r="CY255" s="25" t="s">
        <v>117</v>
      </c>
      <c r="CZ255" s="32"/>
      <c r="DA255" s="25" t="s">
        <v>117</v>
      </c>
      <c r="DB255" s="33" t="s">
        <v>120</v>
      </c>
      <c r="DC255" s="25" t="s">
        <v>116</v>
      </c>
      <c r="DD255" s="34">
        <f t="shared" si="57"/>
        <v>465</v>
      </c>
      <c r="DE255" t="s">
        <v>2142</v>
      </c>
      <c r="DF255" t="str">
        <f t="shared" si="58"/>
        <v>South Dakota#Company#South Dakota LLC multi-member Non-US Manager</v>
      </c>
      <c r="DG255" t="b">
        <f t="shared" si="59"/>
        <v>1</v>
      </c>
    </row>
    <row r="256" spans="1:111" ht="78.75" hidden="1" customHeight="1" x14ac:dyDescent="0.35">
      <c r="A256" s="42" t="s">
        <v>2129</v>
      </c>
      <c r="B256" s="35" t="s">
        <v>1112</v>
      </c>
      <c r="C256" s="42" t="s">
        <v>88</v>
      </c>
      <c r="D256" s="43" t="s">
        <v>2143</v>
      </c>
      <c r="E256" s="42" t="s">
        <v>90</v>
      </c>
      <c r="F256" s="20" t="s">
        <v>887</v>
      </c>
      <c r="G256" s="20" t="s">
        <v>2144</v>
      </c>
      <c r="H256" s="20" t="s">
        <v>93</v>
      </c>
      <c r="I256" s="20" t="s">
        <v>878</v>
      </c>
      <c r="J256" s="20" t="s">
        <v>2132</v>
      </c>
      <c r="K256" s="20" t="s">
        <v>96</v>
      </c>
      <c r="L256" s="20" t="s">
        <v>97</v>
      </c>
      <c r="M256" s="20" t="s">
        <v>98</v>
      </c>
      <c r="N256" s="20" t="s">
        <v>2133</v>
      </c>
      <c r="O256" s="20" t="s">
        <v>100</v>
      </c>
      <c r="P256" s="20" t="s">
        <v>101</v>
      </c>
      <c r="Q256" s="20" t="s">
        <v>102</v>
      </c>
      <c r="R256" s="20" t="s">
        <v>515</v>
      </c>
      <c r="S256" s="20" t="s">
        <v>516</v>
      </c>
      <c r="T256" s="20" t="s">
        <v>105</v>
      </c>
      <c r="U256" s="20" t="s">
        <v>517</v>
      </c>
      <c r="V256" s="21" t="s">
        <v>518</v>
      </c>
      <c r="W256" s="21" t="s">
        <v>108</v>
      </c>
      <c r="X256" s="21" t="s">
        <v>109</v>
      </c>
      <c r="Y256" s="21" t="s">
        <v>2134</v>
      </c>
      <c r="Z256" s="21" t="s">
        <v>889</v>
      </c>
      <c r="AA256" s="21" t="s">
        <v>191</v>
      </c>
      <c r="AB256" s="21" t="s">
        <v>2145</v>
      </c>
      <c r="AC256" s="21" t="s">
        <v>2146</v>
      </c>
      <c r="AD256" s="47">
        <v>3200</v>
      </c>
      <c r="AE256" s="23" t="s">
        <v>115</v>
      </c>
      <c r="AF256" s="44"/>
      <c r="AG256" s="23" t="s">
        <v>116</v>
      </c>
      <c r="AH256" s="44"/>
      <c r="AI256" s="25" t="s">
        <v>117</v>
      </c>
      <c r="AJ256" s="44"/>
      <c r="AK256" s="25" t="s">
        <v>117</v>
      </c>
      <c r="AL256" s="22">
        <v>0</v>
      </c>
      <c r="AM256" s="23" t="s">
        <v>115</v>
      </c>
      <c r="AN256" s="44"/>
      <c r="AO256" s="25" t="s">
        <v>117</v>
      </c>
      <c r="AP256" s="47">
        <v>2600</v>
      </c>
      <c r="AQ256" s="23" t="s">
        <v>115</v>
      </c>
      <c r="AR256" s="44"/>
      <c r="AS256" s="23" t="s">
        <v>117</v>
      </c>
      <c r="AT256" s="45" t="s">
        <v>118</v>
      </c>
      <c r="AU256" s="23" t="s">
        <v>116</v>
      </c>
      <c r="AV256" s="45" t="s">
        <v>118</v>
      </c>
      <c r="AW256" s="23" t="s">
        <v>115</v>
      </c>
      <c r="AX256" s="45" t="s">
        <v>118</v>
      </c>
      <c r="AY256" s="23" t="s">
        <v>115</v>
      </c>
      <c r="AZ256" s="45" t="s">
        <v>118</v>
      </c>
      <c r="BA256" s="23" t="s">
        <v>115</v>
      </c>
      <c r="BB256" s="46"/>
      <c r="BC256" s="23" t="s">
        <v>115</v>
      </c>
      <c r="BD256" s="45" t="s">
        <v>118</v>
      </c>
      <c r="BE256" s="23" t="s">
        <v>115</v>
      </c>
      <c r="BF256" s="45" t="s">
        <v>118</v>
      </c>
      <c r="BG256" s="23" t="s">
        <v>115</v>
      </c>
      <c r="BH256" s="46"/>
      <c r="BI256" s="25" t="s">
        <v>117</v>
      </c>
      <c r="BJ256" s="46"/>
      <c r="BK256" s="25" t="s">
        <v>117</v>
      </c>
      <c r="BL256" s="46"/>
      <c r="BM256" s="25" t="s">
        <v>117</v>
      </c>
      <c r="BN256" s="46"/>
      <c r="BO256" s="25" t="s">
        <v>117</v>
      </c>
      <c r="BP256" s="46"/>
      <c r="BQ256" s="25" t="s">
        <v>117</v>
      </c>
      <c r="BR256" s="46"/>
      <c r="BS256" s="25" t="s">
        <v>117</v>
      </c>
      <c r="BT256" s="46"/>
      <c r="BU256" s="25" t="s">
        <v>117</v>
      </c>
      <c r="BV256" s="46"/>
      <c r="BW256" s="25" t="s">
        <v>117</v>
      </c>
      <c r="BX256" s="46"/>
      <c r="BY256" s="25" t="s">
        <v>117</v>
      </c>
      <c r="BZ256" s="46"/>
      <c r="CA256" s="25" t="s">
        <v>117</v>
      </c>
      <c r="CB256" s="46"/>
      <c r="CC256" s="25" t="s">
        <v>117</v>
      </c>
      <c r="CD256" s="46"/>
      <c r="CE256" s="25" t="s">
        <v>117</v>
      </c>
      <c r="CF256" s="46"/>
      <c r="CG256" s="25" t="s">
        <v>117</v>
      </c>
      <c r="CH256" s="46"/>
      <c r="CI256" s="25"/>
      <c r="CJ256" s="46"/>
      <c r="CK256" s="48" t="s">
        <v>117</v>
      </c>
      <c r="CL256" s="46"/>
      <c r="CM256" s="48" t="s">
        <v>117</v>
      </c>
      <c r="CN256" s="46"/>
      <c r="CO256" s="25" t="s">
        <v>117</v>
      </c>
      <c r="CP256" s="30">
        <v>400</v>
      </c>
      <c r="CQ256" s="23" t="s">
        <v>115</v>
      </c>
      <c r="CR256" s="32"/>
      <c r="CS256" s="23" t="s">
        <v>117</v>
      </c>
      <c r="CT256" s="32"/>
      <c r="CU256" s="23" t="s">
        <v>117</v>
      </c>
      <c r="CV256" s="32"/>
      <c r="CW256" s="23" t="s">
        <v>117</v>
      </c>
      <c r="CX256" s="32"/>
      <c r="CY256" s="25" t="s">
        <v>117</v>
      </c>
      <c r="CZ256" s="32"/>
      <c r="DA256" s="25" t="s">
        <v>117</v>
      </c>
      <c r="DB256" s="33" t="s">
        <v>120</v>
      </c>
      <c r="DC256" s="25" t="s">
        <v>116</v>
      </c>
      <c r="DD256" s="34">
        <f t="shared" si="57"/>
        <v>465</v>
      </c>
      <c r="DE256" t="s">
        <v>2147</v>
      </c>
      <c r="DF256" t="str">
        <f t="shared" si="58"/>
        <v>South Dakota#Company#South Dakota LLC multi-member US Manager</v>
      </c>
      <c r="DG256" t="b">
        <f t="shared" si="59"/>
        <v>1</v>
      </c>
    </row>
    <row r="257" spans="1:111" ht="78.75" hidden="1" customHeight="1" x14ac:dyDescent="0.35">
      <c r="A257" s="35" t="s">
        <v>2129</v>
      </c>
      <c r="B257" s="35" t="s">
        <v>1112</v>
      </c>
      <c r="C257" s="35" t="s">
        <v>88</v>
      </c>
      <c r="D257" s="36" t="s">
        <v>2148</v>
      </c>
      <c r="E257" s="35" t="s">
        <v>90</v>
      </c>
      <c r="F257" s="20" t="s">
        <v>894</v>
      </c>
      <c r="G257" s="20" t="s">
        <v>2149</v>
      </c>
      <c r="H257" s="20" t="s">
        <v>93</v>
      </c>
      <c r="I257" s="20" t="s">
        <v>878</v>
      </c>
      <c r="J257" s="20" t="s">
        <v>2132</v>
      </c>
      <c r="K257" s="20" t="s">
        <v>96</v>
      </c>
      <c r="L257" s="20" t="s">
        <v>97</v>
      </c>
      <c r="M257" s="20" t="s">
        <v>98</v>
      </c>
      <c r="N257" s="20" t="s">
        <v>2133</v>
      </c>
      <c r="O257" s="20" t="s">
        <v>100</v>
      </c>
      <c r="P257" s="20" t="s">
        <v>101</v>
      </c>
      <c r="Q257" s="20" t="s">
        <v>102</v>
      </c>
      <c r="R257" s="20" t="s">
        <v>515</v>
      </c>
      <c r="S257" s="20" t="s">
        <v>516</v>
      </c>
      <c r="T257" s="20" t="s">
        <v>105</v>
      </c>
      <c r="U257" s="20" t="s">
        <v>517</v>
      </c>
      <c r="V257" s="21" t="s">
        <v>518</v>
      </c>
      <c r="W257" s="21" t="s">
        <v>108</v>
      </c>
      <c r="X257" s="21" t="s">
        <v>109</v>
      </c>
      <c r="Y257" s="21" t="s">
        <v>2134</v>
      </c>
      <c r="Z257" s="21" t="s">
        <v>889</v>
      </c>
      <c r="AA257" s="21" t="s">
        <v>112</v>
      </c>
      <c r="AB257" s="21" t="s">
        <v>2150</v>
      </c>
      <c r="AC257" s="21" t="s">
        <v>2151</v>
      </c>
      <c r="AD257" s="37">
        <v>3200</v>
      </c>
      <c r="AE257" s="23" t="s">
        <v>115</v>
      </c>
      <c r="AF257" s="38"/>
      <c r="AG257" s="23" t="s">
        <v>116</v>
      </c>
      <c r="AH257" s="38"/>
      <c r="AI257" s="25" t="s">
        <v>117</v>
      </c>
      <c r="AJ257" s="38"/>
      <c r="AK257" s="25" t="s">
        <v>117</v>
      </c>
      <c r="AL257" s="22">
        <v>0</v>
      </c>
      <c r="AM257" s="23" t="s">
        <v>115</v>
      </c>
      <c r="AN257" s="38"/>
      <c r="AO257" s="25" t="s">
        <v>117</v>
      </c>
      <c r="AP257" s="37">
        <v>2600</v>
      </c>
      <c r="AQ257" s="23" t="s">
        <v>115</v>
      </c>
      <c r="AR257" s="38"/>
      <c r="AS257" s="23" t="s">
        <v>117</v>
      </c>
      <c r="AT257" s="39" t="s">
        <v>118</v>
      </c>
      <c r="AU257" s="23" t="s">
        <v>116</v>
      </c>
      <c r="AV257" s="39" t="s">
        <v>118</v>
      </c>
      <c r="AW257" s="23" t="s">
        <v>115</v>
      </c>
      <c r="AX257" s="39" t="s">
        <v>118</v>
      </c>
      <c r="AY257" s="23" t="s">
        <v>115</v>
      </c>
      <c r="AZ257" s="39" t="s">
        <v>118</v>
      </c>
      <c r="BA257" s="23" t="s">
        <v>115</v>
      </c>
      <c r="BB257" s="40"/>
      <c r="BC257" s="23" t="s">
        <v>115</v>
      </c>
      <c r="BD257" s="39" t="s">
        <v>118</v>
      </c>
      <c r="BE257" s="23" t="s">
        <v>115</v>
      </c>
      <c r="BF257" s="39" t="s">
        <v>118</v>
      </c>
      <c r="BG257" s="23" t="s">
        <v>115</v>
      </c>
      <c r="BH257" s="40"/>
      <c r="BI257" s="25" t="s">
        <v>117</v>
      </c>
      <c r="BJ257" s="40"/>
      <c r="BK257" s="25" t="s">
        <v>117</v>
      </c>
      <c r="BL257" s="40"/>
      <c r="BM257" s="25" t="s">
        <v>117</v>
      </c>
      <c r="BN257" s="40"/>
      <c r="BO257" s="25" t="s">
        <v>117</v>
      </c>
      <c r="BP257" s="40"/>
      <c r="BQ257" s="25" t="s">
        <v>117</v>
      </c>
      <c r="BR257" s="40"/>
      <c r="BS257" s="25" t="s">
        <v>117</v>
      </c>
      <c r="BT257" s="40"/>
      <c r="BU257" s="25" t="s">
        <v>117</v>
      </c>
      <c r="BV257" s="40"/>
      <c r="BW257" s="25" t="s">
        <v>117</v>
      </c>
      <c r="BX257" s="40"/>
      <c r="BY257" s="25" t="s">
        <v>117</v>
      </c>
      <c r="BZ257" s="40"/>
      <c r="CA257" s="25" t="s">
        <v>117</v>
      </c>
      <c r="CB257" s="40"/>
      <c r="CC257" s="25" t="s">
        <v>117</v>
      </c>
      <c r="CD257" s="40"/>
      <c r="CE257" s="25" t="s">
        <v>117</v>
      </c>
      <c r="CF257" s="40"/>
      <c r="CG257" s="25" t="s">
        <v>117</v>
      </c>
      <c r="CH257" s="40"/>
      <c r="CI257" s="25"/>
      <c r="CJ257" s="40"/>
      <c r="CK257" s="41" t="s">
        <v>117</v>
      </c>
      <c r="CL257" s="40"/>
      <c r="CM257" s="41" t="s">
        <v>117</v>
      </c>
      <c r="CN257" s="40"/>
      <c r="CO257" s="25" t="s">
        <v>117</v>
      </c>
      <c r="CP257" s="30">
        <v>400</v>
      </c>
      <c r="CQ257" s="23" t="s">
        <v>115</v>
      </c>
      <c r="CR257" s="32"/>
      <c r="CS257" s="23" t="s">
        <v>117</v>
      </c>
      <c r="CT257" s="32"/>
      <c r="CU257" s="23" t="s">
        <v>117</v>
      </c>
      <c r="CV257" s="32"/>
      <c r="CW257" s="23" t="s">
        <v>117</v>
      </c>
      <c r="CX257" s="32"/>
      <c r="CY257" s="25" t="s">
        <v>117</v>
      </c>
      <c r="CZ257" s="32"/>
      <c r="DA257" s="25" t="s">
        <v>117</v>
      </c>
      <c r="DB257" s="33" t="s">
        <v>120</v>
      </c>
      <c r="DC257" s="25" t="s">
        <v>116</v>
      </c>
      <c r="DD257" s="34">
        <f t="shared" si="57"/>
        <v>465</v>
      </c>
      <c r="DE257" t="s">
        <v>2152</v>
      </c>
      <c r="DF257" t="str">
        <f t="shared" si="58"/>
        <v>South Dakota#Company#South Dakota LLC single-member US Manager</v>
      </c>
      <c r="DG257" t="b">
        <f t="shared" si="59"/>
        <v>1</v>
      </c>
    </row>
    <row r="258" spans="1:111" ht="157.5" hidden="1" customHeight="1" x14ac:dyDescent="0.35">
      <c r="A258" s="18" t="s">
        <v>2129</v>
      </c>
      <c r="B258" s="35" t="s">
        <v>1112</v>
      </c>
      <c r="C258" s="18" t="s">
        <v>122</v>
      </c>
      <c r="D258" s="19" t="s">
        <v>2153</v>
      </c>
      <c r="E258" s="18" t="s">
        <v>90</v>
      </c>
      <c r="F258" s="20" t="s">
        <v>2154</v>
      </c>
      <c r="G258" s="20" t="s">
        <v>2155</v>
      </c>
      <c r="H258" s="20" t="s">
        <v>126</v>
      </c>
      <c r="I258" s="20" t="s">
        <v>127</v>
      </c>
      <c r="J258" s="20" t="s">
        <v>2132</v>
      </c>
      <c r="K258" s="20" t="s">
        <v>96</v>
      </c>
      <c r="L258" s="20" t="s">
        <v>97</v>
      </c>
      <c r="M258" s="20" t="s">
        <v>98</v>
      </c>
      <c r="N258" s="20" t="s">
        <v>128</v>
      </c>
      <c r="O258" s="20" t="s">
        <v>129</v>
      </c>
      <c r="P258" s="20" t="s">
        <v>130</v>
      </c>
      <c r="Q258" s="20" t="s">
        <v>131</v>
      </c>
      <c r="R258" s="20" t="s">
        <v>132</v>
      </c>
      <c r="S258" s="20" t="s">
        <v>133</v>
      </c>
      <c r="T258" s="20" t="s">
        <v>134</v>
      </c>
      <c r="U258" s="20" t="s">
        <v>135</v>
      </c>
      <c r="V258" s="21" t="s">
        <v>122</v>
      </c>
      <c r="W258" s="21" t="s">
        <v>108</v>
      </c>
      <c r="X258" s="21" t="s">
        <v>109</v>
      </c>
      <c r="Y258" s="21" t="s">
        <v>2156</v>
      </c>
      <c r="Z258" s="21" t="s">
        <v>111</v>
      </c>
      <c r="AA258" s="21"/>
      <c r="AB258" s="21" t="s">
        <v>2157</v>
      </c>
      <c r="AC258" s="21" t="s">
        <v>2158</v>
      </c>
      <c r="AD258" s="26">
        <v>7000</v>
      </c>
      <c r="AE258" s="23" t="s">
        <v>115</v>
      </c>
      <c r="AF258" s="24"/>
      <c r="AG258" s="23" t="s">
        <v>116</v>
      </c>
      <c r="AH258" s="24"/>
      <c r="AI258" s="25" t="s">
        <v>117</v>
      </c>
      <c r="AJ258" s="24"/>
      <c r="AK258" s="25" t="s">
        <v>117</v>
      </c>
      <c r="AL258" s="22">
        <v>0</v>
      </c>
      <c r="AM258" s="23" t="s">
        <v>115</v>
      </c>
      <c r="AN258" s="24"/>
      <c r="AO258" s="25" t="s">
        <v>117</v>
      </c>
      <c r="AP258" s="27" t="s">
        <v>118</v>
      </c>
      <c r="AQ258" s="23" t="s">
        <v>117</v>
      </c>
      <c r="AR258" s="26">
        <v>7000</v>
      </c>
      <c r="AS258" s="23" t="s">
        <v>115</v>
      </c>
      <c r="AT258" s="27" t="s">
        <v>118</v>
      </c>
      <c r="AU258" s="23" t="s">
        <v>116</v>
      </c>
      <c r="AV258" s="27" t="s">
        <v>118</v>
      </c>
      <c r="AW258" s="23" t="s">
        <v>115</v>
      </c>
      <c r="AX258" s="27" t="s">
        <v>118</v>
      </c>
      <c r="AY258" s="23" t="s">
        <v>115</v>
      </c>
      <c r="AZ258" s="27" t="s">
        <v>118</v>
      </c>
      <c r="BA258" s="23" t="s">
        <v>115</v>
      </c>
      <c r="BB258" s="28"/>
      <c r="BC258" s="23" t="s">
        <v>115</v>
      </c>
      <c r="BD258" s="27" t="s">
        <v>118</v>
      </c>
      <c r="BE258" s="23" t="s">
        <v>115</v>
      </c>
      <c r="BF258" s="27" t="s">
        <v>118</v>
      </c>
      <c r="BG258" s="23" t="s">
        <v>115</v>
      </c>
      <c r="BH258" s="28"/>
      <c r="BI258" s="25" t="s">
        <v>117</v>
      </c>
      <c r="BJ258" s="28"/>
      <c r="BK258" s="25" t="s">
        <v>117</v>
      </c>
      <c r="BL258" s="26">
        <v>350</v>
      </c>
      <c r="BM258" s="25" t="s">
        <v>116</v>
      </c>
      <c r="BN258" s="28"/>
      <c r="BO258" s="25" t="s">
        <v>117</v>
      </c>
      <c r="BP258" s="28"/>
      <c r="BQ258" s="25" t="s">
        <v>117</v>
      </c>
      <c r="BR258" s="28"/>
      <c r="BS258" s="25" t="s">
        <v>117</v>
      </c>
      <c r="BT258" s="28"/>
      <c r="BU258" s="25" t="s">
        <v>117</v>
      </c>
      <c r="BV258" s="28"/>
      <c r="BW258" s="25" t="s">
        <v>117</v>
      </c>
      <c r="BX258" s="28"/>
      <c r="BY258" s="25" t="s">
        <v>117</v>
      </c>
      <c r="BZ258" s="28"/>
      <c r="CA258" s="25" t="s">
        <v>117</v>
      </c>
      <c r="CB258" s="28"/>
      <c r="CC258" s="25" t="s">
        <v>117</v>
      </c>
      <c r="CD258" s="28"/>
      <c r="CE258" s="25" t="s">
        <v>117</v>
      </c>
      <c r="CF258" s="28"/>
      <c r="CG258" s="25" t="s">
        <v>117</v>
      </c>
      <c r="CH258" s="28"/>
      <c r="CI258" s="25"/>
      <c r="CJ258" s="28"/>
      <c r="CK258" s="29" t="s">
        <v>117</v>
      </c>
      <c r="CL258" s="28"/>
      <c r="CM258" s="29" t="s">
        <v>117</v>
      </c>
      <c r="CN258" s="28"/>
      <c r="CO258" s="25" t="s">
        <v>117</v>
      </c>
      <c r="CP258" s="30">
        <v>400</v>
      </c>
      <c r="CQ258" s="23" t="s">
        <v>115</v>
      </c>
      <c r="CR258" s="32"/>
      <c r="CS258" s="23" t="s">
        <v>117</v>
      </c>
      <c r="CT258" s="32"/>
      <c r="CU258" s="23" t="s">
        <v>117</v>
      </c>
      <c r="CV258" s="32"/>
      <c r="CW258" s="23" t="s">
        <v>117</v>
      </c>
      <c r="CX258" s="32"/>
      <c r="CY258" s="25" t="s">
        <v>117</v>
      </c>
      <c r="CZ258" s="32"/>
      <c r="DA258" s="25" t="s">
        <v>117</v>
      </c>
      <c r="DB258" s="33" t="s">
        <v>120</v>
      </c>
      <c r="DC258" s="25" t="s">
        <v>116</v>
      </c>
      <c r="DD258" s="34">
        <f t="shared" si="57"/>
        <v>1080</v>
      </c>
      <c r="DE258" t="s">
        <v>2159</v>
      </c>
      <c r="DF258" t="str">
        <f t="shared" si="58"/>
        <v>South Dakota#Trust#South Dakota Delegated Trust</v>
      </c>
      <c r="DG258" t="b">
        <f t="shared" si="59"/>
        <v>1</v>
      </c>
    </row>
    <row r="259" spans="1:111" s="142" customFormat="1" ht="78.75" hidden="1" customHeight="1" x14ac:dyDescent="0.35">
      <c r="A259" s="72" t="s">
        <v>2129</v>
      </c>
      <c r="B259" s="35" t="s">
        <v>1112</v>
      </c>
      <c r="C259" s="72" t="s">
        <v>122</v>
      </c>
      <c r="D259" s="73" t="s">
        <v>2160</v>
      </c>
      <c r="E259" s="72" t="s">
        <v>90</v>
      </c>
      <c r="F259" s="20" t="s">
        <v>2161</v>
      </c>
      <c r="G259" s="20" t="s">
        <v>2162</v>
      </c>
      <c r="H259" s="20" t="s">
        <v>126</v>
      </c>
      <c r="I259" s="20" t="s">
        <v>127</v>
      </c>
      <c r="J259" s="20" t="s">
        <v>2132</v>
      </c>
      <c r="K259" s="20" t="s">
        <v>96</v>
      </c>
      <c r="L259" s="20" t="s">
        <v>97</v>
      </c>
      <c r="M259" s="20" t="s">
        <v>98</v>
      </c>
      <c r="N259" s="20" t="s">
        <v>128</v>
      </c>
      <c r="O259" s="20" t="s">
        <v>129</v>
      </c>
      <c r="P259" s="20" t="s">
        <v>130</v>
      </c>
      <c r="Q259" s="20" t="s">
        <v>131</v>
      </c>
      <c r="R259" s="20" t="s">
        <v>132</v>
      </c>
      <c r="S259" s="20" t="s">
        <v>133</v>
      </c>
      <c r="T259" s="20" t="s">
        <v>134</v>
      </c>
      <c r="U259" s="20" t="s">
        <v>135</v>
      </c>
      <c r="V259" s="21" t="s">
        <v>122</v>
      </c>
      <c r="W259" s="21" t="s">
        <v>108</v>
      </c>
      <c r="X259" s="21" t="s">
        <v>109</v>
      </c>
      <c r="Y259" s="21" t="s">
        <v>2156</v>
      </c>
      <c r="Z259" s="21" t="s">
        <v>111</v>
      </c>
      <c r="AA259" s="21"/>
      <c r="AB259" s="21" t="s">
        <v>2163</v>
      </c>
      <c r="AC259" s="21" t="s">
        <v>2164</v>
      </c>
      <c r="AD259" s="26">
        <v>7000</v>
      </c>
      <c r="AE259" s="23" t="s">
        <v>115</v>
      </c>
      <c r="AF259" s="74"/>
      <c r="AG259" s="23" t="s">
        <v>116</v>
      </c>
      <c r="AH259" s="74"/>
      <c r="AI259" s="25" t="s">
        <v>117</v>
      </c>
      <c r="AJ259" s="74"/>
      <c r="AK259" s="25" t="s">
        <v>117</v>
      </c>
      <c r="AL259" s="22">
        <v>0</v>
      </c>
      <c r="AM259" s="23" t="s">
        <v>115</v>
      </c>
      <c r="AN259" s="74"/>
      <c r="AO259" s="25" t="s">
        <v>117</v>
      </c>
      <c r="AP259" s="58" t="s">
        <v>118</v>
      </c>
      <c r="AQ259" s="23" t="s">
        <v>117</v>
      </c>
      <c r="AR259" s="26">
        <v>7000</v>
      </c>
      <c r="AS259" s="23" t="s">
        <v>115</v>
      </c>
      <c r="AT259" s="58" t="s">
        <v>118</v>
      </c>
      <c r="AU259" s="23" t="s">
        <v>116</v>
      </c>
      <c r="AV259" s="58" t="s">
        <v>118</v>
      </c>
      <c r="AW259" s="23" t="s">
        <v>115</v>
      </c>
      <c r="AX259" s="58" t="s">
        <v>118</v>
      </c>
      <c r="AY259" s="23" t="s">
        <v>115</v>
      </c>
      <c r="AZ259" s="58" t="s">
        <v>118</v>
      </c>
      <c r="BA259" s="23" t="s">
        <v>115</v>
      </c>
      <c r="BB259" s="75"/>
      <c r="BC259" s="23" t="s">
        <v>115</v>
      </c>
      <c r="BD259" s="58" t="s">
        <v>118</v>
      </c>
      <c r="BE259" s="23" t="s">
        <v>115</v>
      </c>
      <c r="BF259" s="58" t="s">
        <v>118</v>
      </c>
      <c r="BG259" s="23" t="s">
        <v>115</v>
      </c>
      <c r="BH259" s="75"/>
      <c r="BI259" s="25" t="s">
        <v>117</v>
      </c>
      <c r="BJ259" s="75"/>
      <c r="BK259" s="25" t="s">
        <v>117</v>
      </c>
      <c r="BL259" s="26">
        <v>350</v>
      </c>
      <c r="BM259" s="25" t="s">
        <v>116</v>
      </c>
      <c r="BN259" s="75"/>
      <c r="BO259" s="25" t="s">
        <v>117</v>
      </c>
      <c r="BP259" s="75"/>
      <c r="BQ259" s="25" t="s">
        <v>117</v>
      </c>
      <c r="BR259" s="75"/>
      <c r="BS259" s="25" t="s">
        <v>117</v>
      </c>
      <c r="BT259" s="75"/>
      <c r="BU259" s="25" t="s">
        <v>117</v>
      </c>
      <c r="BV259" s="75"/>
      <c r="BW259" s="25" t="s">
        <v>117</v>
      </c>
      <c r="BX259" s="75"/>
      <c r="BY259" s="25" t="s">
        <v>117</v>
      </c>
      <c r="BZ259" s="75"/>
      <c r="CA259" s="25" t="s">
        <v>117</v>
      </c>
      <c r="CB259" s="75"/>
      <c r="CC259" s="25" t="s">
        <v>117</v>
      </c>
      <c r="CD259" s="75"/>
      <c r="CE259" s="25" t="s">
        <v>117</v>
      </c>
      <c r="CF259" s="75"/>
      <c r="CG259" s="25" t="s">
        <v>117</v>
      </c>
      <c r="CH259" s="75"/>
      <c r="CI259" s="25"/>
      <c r="CJ259" s="75"/>
      <c r="CK259" s="62" t="s">
        <v>117</v>
      </c>
      <c r="CL259" s="75"/>
      <c r="CM259" s="62" t="s">
        <v>117</v>
      </c>
      <c r="CN259" s="75"/>
      <c r="CO259" s="25" t="s">
        <v>117</v>
      </c>
      <c r="CP259" s="30">
        <v>400</v>
      </c>
      <c r="CQ259" s="23" t="s">
        <v>115</v>
      </c>
      <c r="CR259" s="32"/>
      <c r="CS259" s="23" t="s">
        <v>117</v>
      </c>
      <c r="CT259" s="32"/>
      <c r="CU259" s="23" t="s">
        <v>117</v>
      </c>
      <c r="CV259" s="32"/>
      <c r="CW259" s="23" t="s">
        <v>117</v>
      </c>
      <c r="CX259" s="32"/>
      <c r="CY259" s="25" t="s">
        <v>117</v>
      </c>
      <c r="CZ259" s="32"/>
      <c r="DA259" s="25" t="s">
        <v>117</v>
      </c>
      <c r="DB259" s="33" t="s">
        <v>120</v>
      </c>
      <c r="DC259" s="25" t="s">
        <v>116</v>
      </c>
      <c r="DD259" s="34">
        <f t="shared" si="57"/>
        <v>1080</v>
      </c>
      <c r="DE259" s="142" t="s">
        <v>2165</v>
      </c>
      <c r="DF259" s="142" t="str">
        <f t="shared" si="58"/>
        <v>South Dakota#Trust#South Dakota Directed Trust</v>
      </c>
      <c r="DG259" s="142" t="b">
        <f t="shared" si="59"/>
        <v>1</v>
      </c>
    </row>
    <row r="260" spans="1:111" ht="15" hidden="1" customHeight="1" x14ac:dyDescent="0.35">
      <c r="A260" s="18" t="s">
        <v>2129</v>
      </c>
      <c r="B260" s="35" t="s">
        <v>1112</v>
      </c>
      <c r="C260" s="18" t="s">
        <v>122</v>
      </c>
      <c r="D260" s="19" t="s">
        <v>2166</v>
      </c>
      <c r="E260" s="18" t="s">
        <v>90</v>
      </c>
      <c r="F260" s="20" t="s">
        <v>2167</v>
      </c>
      <c r="G260" s="20" t="s">
        <v>2168</v>
      </c>
      <c r="H260" s="20" t="s">
        <v>126</v>
      </c>
      <c r="I260" s="20" t="s">
        <v>127</v>
      </c>
      <c r="J260" s="20" t="s">
        <v>2132</v>
      </c>
      <c r="K260" s="20" t="s">
        <v>96</v>
      </c>
      <c r="L260" s="20" t="s">
        <v>97</v>
      </c>
      <c r="M260" s="20" t="s">
        <v>98</v>
      </c>
      <c r="N260" s="20" t="s">
        <v>128</v>
      </c>
      <c r="O260" s="20" t="s">
        <v>129</v>
      </c>
      <c r="P260" s="20" t="s">
        <v>130</v>
      </c>
      <c r="Q260" s="20" t="s">
        <v>131</v>
      </c>
      <c r="R260" s="20" t="s">
        <v>132</v>
      </c>
      <c r="S260" s="20" t="s">
        <v>133</v>
      </c>
      <c r="T260" s="20" t="s">
        <v>134</v>
      </c>
      <c r="U260" s="20" t="s">
        <v>135</v>
      </c>
      <c r="V260" s="21" t="s">
        <v>122</v>
      </c>
      <c r="W260" s="21" t="s">
        <v>108</v>
      </c>
      <c r="X260" s="21" t="s">
        <v>2169</v>
      </c>
      <c r="Y260" s="21" t="s">
        <v>2170</v>
      </c>
      <c r="Z260" s="21" t="s">
        <v>111</v>
      </c>
      <c r="AA260" s="21"/>
      <c r="AB260" s="21" t="s">
        <v>2171</v>
      </c>
      <c r="AC260" s="21" t="s">
        <v>2172</v>
      </c>
      <c r="AD260" s="26">
        <v>7000</v>
      </c>
      <c r="AE260" s="23" t="s">
        <v>115</v>
      </c>
      <c r="AF260" s="24"/>
      <c r="AG260" s="23" t="s">
        <v>116</v>
      </c>
      <c r="AH260" s="24"/>
      <c r="AI260" s="25" t="s">
        <v>117</v>
      </c>
      <c r="AJ260" s="24"/>
      <c r="AK260" s="25" t="s">
        <v>117</v>
      </c>
      <c r="AL260" s="22">
        <v>0</v>
      </c>
      <c r="AM260" s="23" t="s">
        <v>115</v>
      </c>
      <c r="AN260" s="24"/>
      <c r="AO260" s="25" t="s">
        <v>117</v>
      </c>
      <c r="AP260" s="27" t="s">
        <v>118</v>
      </c>
      <c r="AQ260" s="23" t="s">
        <v>117</v>
      </c>
      <c r="AR260" s="26">
        <v>7000</v>
      </c>
      <c r="AS260" s="23" t="s">
        <v>115</v>
      </c>
      <c r="AT260" s="27" t="s">
        <v>118</v>
      </c>
      <c r="AU260" s="23" t="s">
        <v>116</v>
      </c>
      <c r="AV260" s="27" t="s">
        <v>118</v>
      </c>
      <c r="AW260" s="23" t="s">
        <v>115</v>
      </c>
      <c r="AX260" s="27" t="s">
        <v>118</v>
      </c>
      <c r="AY260" s="23" t="s">
        <v>115</v>
      </c>
      <c r="AZ260" s="27" t="s">
        <v>118</v>
      </c>
      <c r="BA260" s="23" t="s">
        <v>115</v>
      </c>
      <c r="BB260" s="28"/>
      <c r="BC260" s="23" t="s">
        <v>115</v>
      </c>
      <c r="BD260" s="27" t="s">
        <v>118</v>
      </c>
      <c r="BE260" s="23" t="s">
        <v>115</v>
      </c>
      <c r="BF260" s="27" t="s">
        <v>118</v>
      </c>
      <c r="BG260" s="23" t="s">
        <v>115</v>
      </c>
      <c r="BH260" s="28"/>
      <c r="BI260" s="25" t="s">
        <v>117</v>
      </c>
      <c r="BJ260" s="28"/>
      <c r="BK260" s="25" t="s">
        <v>117</v>
      </c>
      <c r="BL260" s="26">
        <v>350</v>
      </c>
      <c r="BM260" s="25" t="s">
        <v>116</v>
      </c>
      <c r="BN260" s="28"/>
      <c r="BO260" s="25" t="s">
        <v>117</v>
      </c>
      <c r="BP260" s="28"/>
      <c r="BQ260" s="25" t="s">
        <v>117</v>
      </c>
      <c r="BR260" s="28"/>
      <c r="BS260" s="25" t="s">
        <v>117</v>
      </c>
      <c r="BT260" s="28"/>
      <c r="BU260" s="25" t="s">
        <v>117</v>
      </c>
      <c r="BV260" s="28"/>
      <c r="BW260" s="25" t="s">
        <v>117</v>
      </c>
      <c r="BX260" s="28"/>
      <c r="BY260" s="25" t="s">
        <v>117</v>
      </c>
      <c r="BZ260" s="28"/>
      <c r="CA260" s="25" t="s">
        <v>117</v>
      </c>
      <c r="CB260" s="28"/>
      <c r="CC260" s="25" t="s">
        <v>117</v>
      </c>
      <c r="CD260" s="28"/>
      <c r="CE260" s="25" t="s">
        <v>117</v>
      </c>
      <c r="CF260" s="28"/>
      <c r="CG260" s="25" t="s">
        <v>117</v>
      </c>
      <c r="CH260" s="28"/>
      <c r="CI260" s="25"/>
      <c r="CJ260" s="28"/>
      <c r="CK260" s="29" t="s">
        <v>117</v>
      </c>
      <c r="CL260" s="28"/>
      <c r="CM260" s="29" t="s">
        <v>117</v>
      </c>
      <c r="CN260" s="28"/>
      <c r="CO260" s="25" t="s">
        <v>117</v>
      </c>
      <c r="CP260" s="30">
        <v>400</v>
      </c>
      <c r="CQ260" s="23" t="s">
        <v>115</v>
      </c>
      <c r="CR260" s="32"/>
      <c r="CS260" s="23" t="s">
        <v>117</v>
      </c>
      <c r="CT260" s="32"/>
      <c r="CU260" s="23" t="s">
        <v>117</v>
      </c>
      <c r="CV260" s="32"/>
      <c r="CW260" s="23" t="s">
        <v>117</v>
      </c>
      <c r="CX260" s="32"/>
      <c r="CY260" s="25" t="s">
        <v>117</v>
      </c>
      <c r="CZ260" s="32"/>
      <c r="DA260" s="25" t="s">
        <v>117</v>
      </c>
      <c r="DB260" s="33" t="s">
        <v>120</v>
      </c>
      <c r="DC260" s="25" t="s">
        <v>116</v>
      </c>
      <c r="DD260" s="34">
        <f t="shared" si="57"/>
        <v>1080</v>
      </c>
      <c r="DE260" t="s">
        <v>2173</v>
      </c>
      <c r="DF260" t="str">
        <f t="shared" si="58"/>
        <v>South Dakota#Trust#South Dakota Discretionary Trust</v>
      </c>
      <c r="DG260" t="b">
        <f t="shared" si="59"/>
        <v>1</v>
      </c>
    </row>
    <row r="261" spans="1:111" ht="78.75" hidden="1" customHeight="1" x14ac:dyDescent="0.35">
      <c r="A261" s="184" t="s">
        <v>2174</v>
      </c>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c r="AA261" s="184"/>
      <c r="AB261" s="184"/>
      <c r="AC261" s="184"/>
      <c r="AD261" s="184"/>
      <c r="AE261" s="184"/>
      <c r="AF261" s="184"/>
      <c r="AG261" s="184"/>
      <c r="AH261" s="184"/>
      <c r="AI261" s="184"/>
      <c r="AJ261" s="184"/>
      <c r="AK261" s="184"/>
      <c r="AL261" s="184"/>
      <c r="AM261" s="184"/>
      <c r="AN261" s="184"/>
      <c r="AO261" s="184"/>
      <c r="AP261" s="184"/>
      <c r="AQ261" s="184"/>
      <c r="AR261" s="184"/>
      <c r="AS261" s="184"/>
      <c r="AT261" s="184"/>
      <c r="AU261" s="184"/>
      <c r="AV261" s="184"/>
      <c r="AW261" s="184"/>
      <c r="AX261" s="184"/>
      <c r="AY261" s="184"/>
      <c r="AZ261" s="184"/>
      <c r="BA261" s="184"/>
      <c r="BB261" s="184"/>
      <c r="BC261" s="184"/>
      <c r="BD261" s="184"/>
      <c r="BE261" s="184"/>
      <c r="BF261" s="184"/>
      <c r="BG261" s="184"/>
      <c r="BH261" s="184"/>
      <c r="BI261" s="184"/>
      <c r="BJ261" s="184"/>
      <c r="BK261" s="184"/>
      <c r="BL261" s="184"/>
      <c r="BM261" s="184"/>
      <c r="BN261" s="184"/>
      <c r="BO261" s="184"/>
      <c r="BP261" s="184"/>
      <c r="BQ261" s="184"/>
      <c r="BR261" s="184"/>
      <c r="BS261" s="184"/>
      <c r="BT261" s="184"/>
      <c r="BU261" s="184"/>
      <c r="BV261" s="184"/>
      <c r="BW261" s="184"/>
      <c r="BX261" s="184"/>
      <c r="BY261" s="184"/>
      <c r="BZ261" s="184"/>
      <c r="CA261" s="184"/>
      <c r="CB261" s="184"/>
      <c r="CC261" s="184"/>
      <c r="CD261" s="184"/>
      <c r="CE261" s="184"/>
      <c r="CF261" s="184"/>
      <c r="CG261" s="184"/>
      <c r="CH261" s="184"/>
      <c r="CI261" s="184"/>
      <c r="CJ261" s="184"/>
      <c r="CK261" s="184"/>
      <c r="CL261" s="184"/>
      <c r="CM261" s="184"/>
      <c r="CN261" s="184"/>
      <c r="CO261" s="184"/>
      <c r="CP261" s="184"/>
      <c r="CQ261" s="184"/>
      <c r="CR261" s="184"/>
      <c r="CS261" s="184"/>
      <c r="CT261" s="184"/>
      <c r="CU261" s="184"/>
      <c r="CV261" s="184"/>
      <c r="CW261" s="184"/>
      <c r="CX261" s="184"/>
      <c r="CY261" s="184"/>
      <c r="CZ261" s="184"/>
      <c r="DA261" s="184"/>
      <c r="DB261" s="184"/>
      <c r="DC261" s="184"/>
      <c r="DE261" t="s">
        <v>85</v>
      </c>
      <c r="DF261" t="str">
        <f>A243&amp;"#"&amp;C243&amp;"#"&amp;D243</f>
        <v>Singapore#Company#Singapore PTC</v>
      </c>
    </row>
    <row r="262" spans="1:111" ht="78.75" hidden="1" customHeight="1" x14ac:dyDescent="0.35">
      <c r="A262" s="18" t="s">
        <v>2175</v>
      </c>
      <c r="B262" s="35" t="s">
        <v>2176</v>
      </c>
      <c r="C262" s="18" t="s">
        <v>88</v>
      </c>
      <c r="D262" s="19" t="s">
        <v>2177</v>
      </c>
      <c r="E262" s="18" t="s">
        <v>817</v>
      </c>
      <c r="F262" s="20" t="s">
        <v>2178</v>
      </c>
      <c r="G262" s="20" t="s">
        <v>2179</v>
      </c>
      <c r="H262" s="20" t="s">
        <v>2180</v>
      </c>
      <c r="I262" s="20" t="s">
        <v>1161</v>
      </c>
      <c r="J262" s="20" t="s">
        <v>2181</v>
      </c>
      <c r="K262" s="20" t="s">
        <v>96</v>
      </c>
      <c r="L262" s="20" t="s">
        <v>97</v>
      </c>
      <c r="M262" s="20" t="s">
        <v>98</v>
      </c>
      <c r="N262" s="20" t="s">
        <v>2182</v>
      </c>
      <c r="O262" s="20" t="s">
        <v>100</v>
      </c>
      <c r="P262" s="20" t="s">
        <v>101</v>
      </c>
      <c r="Q262" s="20" t="s">
        <v>102</v>
      </c>
      <c r="R262" s="20" t="s">
        <v>2183</v>
      </c>
      <c r="S262" s="20" t="s">
        <v>104</v>
      </c>
      <c r="T262" s="20" t="s">
        <v>2184</v>
      </c>
      <c r="U262" s="20" t="s">
        <v>2185</v>
      </c>
      <c r="V262" s="21" t="s">
        <v>243</v>
      </c>
      <c r="W262" s="21" t="s">
        <v>203</v>
      </c>
      <c r="X262" s="21" t="s">
        <v>109</v>
      </c>
      <c r="Y262" s="21" t="s">
        <v>2186</v>
      </c>
      <c r="Z262" s="21" t="s">
        <v>256</v>
      </c>
      <c r="AA262" s="21" t="s">
        <v>112</v>
      </c>
      <c r="AB262" s="21" t="s">
        <v>2187</v>
      </c>
      <c r="AC262" s="21" t="s">
        <v>2188</v>
      </c>
      <c r="AD262" s="26">
        <v>4775</v>
      </c>
      <c r="AE262" s="23" t="s">
        <v>115</v>
      </c>
      <c r="AF262" s="24"/>
      <c r="AG262" s="23" t="s">
        <v>116</v>
      </c>
      <c r="AH262" s="24"/>
      <c r="AI262" s="25" t="s">
        <v>117</v>
      </c>
      <c r="AJ262" s="24"/>
      <c r="AK262" s="25" t="s">
        <v>117</v>
      </c>
      <c r="AL262" s="22">
        <v>0</v>
      </c>
      <c r="AM262" s="23" t="s">
        <v>115</v>
      </c>
      <c r="AN262" s="26">
        <v>1000</v>
      </c>
      <c r="AO262" s="25" t="s">
        <v>116</v>
      </c>
      <c r="AP262" s="22">
        <v>2700</v>
      </c>
      <c r="AQ262" s="23" t="s">
        <v>115</v>
      </c>
      <c r="AR262" s="24"/>
      <c r="AS262" s="23" t="s">
        <v>117</v>
      </c>
      <c r="AT262" s="22">
        <v>7000</v>
      </c>
      <c r="AU262" s="23" t="s">
        <v>116</v>
      </c>
      <c r="AV262" s="22">
        <v>2000</v>
      </c>
      <c r="AW262" s="23" t="s">
        <v>115</v>
      </c>
      <c r="AX262" s="26">
        <v>3400</v>
      </c>
      <c r="AY262" s="23" t="s">
        <v>115</v>
      </c>
      <c r="AZ262" s="24"/>
      <c r="BA262" s="23" t="s">
        <v>115</v>
      </c>
      <c r="BB262" s="24"/>
      <c r="BC262" s="23" t="s">
        <v>115</v>
      </c>
      <c r="BD262" s="22">
        <v>4000</v>
      </c>
      <c r="BE262" s="23" t="s">
        <v>115</v>
      </c>
      <c r="BF262" s="26">
        <v>760</v>
      </c>
      <c r="BG262" s="23" t="s">
        <v>115</v>
      </c>
      <c r="BH262" s="24"/>
      <c r="BI262" s="25" t="s">
        <v>117</v>
      </c>
      <c r="BJ262" s="24"/>
      <c r="BK262" s="25" t="s">
        <v>117</v>
      </c>
      <c r="BL262" s="24"/>
      <c r="BM262" s="25" t="s">
        <v>117</v>
      </c>
      <c r="BN262" s="24"/>
      <c r="BO262" s="25" t="s">
        <v>117</v>
      </c>
      <c r="BP262" s="24"/>
      <c r="BQ262" s="25" t="s">
        <v>117</v>
      </c>
      <c r="BR262" s="24"/>
      <c r="BS262" s="25" t="s">
        <v>117</v>
      </c>
      <c r="BT262" s="24"/>
      <c r="BU262" s="25" t="s">
        <v>117</v>
      </c>
      <c r="BV262" s="24"/>
      <c r="BW262" s="25" t="s">
        <v>117</v>
      </c>
      <c r="BX262" s="24"/>
      <c r="BY262" s="25" t="s">
        <v>117</v>
      </c>
      <c r="BZ262" s="24"/>
      <c r="CA262" s="25" t="s">
        <v>117</v>
      </c>
      <c r="CB262" s="24"/>
      <c r="CC262" s="25" t="s">
        <v>117</v>
      </c>
      <c r="CD262" s="24"/>
      <c r="CE262" s="25" t="s">
        <v>117</v>
      </c>
      <c r="CF262" s="24"/>
      <c r="CG262" s="25" t="s">
        <v>117</v>
      </c>
      <c r="CH262" s="24"/>
      <c r="CI262" s="25"/>
      <c r="CJ262" s="24"/>
      <c r="CK262" s="29" t="s">
        <v>117</v>
      </c>
      <c r="CL262" s="24"/>
      <c r="CM262" s="29" t="s">
        <v>117</v>
      </c>
      <c r="CN262" s="24"/>
      <c r="CO262" s="25" t="s">
        <v>117</v>
      </c>
      <c r="CP262" s="30">
        <v>400</v>
      </c>
      <c r="CQ262" s="23" t="s">
        <v>115</v>
      </c>
      <c r="CR262" s="32"/>
      <c r="CS262" s="23" t="s">
        <v>117</v>
      </c>
      <c r="CT262" s="32"/>
      <c r="CU262" s="23" t="s">
        <v>117</v>
      </c>
      <c r="CV262" s="32"/>
      <c r="CW262" s="23" t="s">
        <v>117</v>
      </c>
      <c r="CX262" s="32"/>
      <c r="CY262" s="25" t="s">
        <v>117</v>
      </c>
      <c r="CZ262" s="32"/>
      <c r="DA262" s="25" t="s">
        <v>117</v>
      </c>
      <c r="DB262" s="33" t="s">
        <v>2189</v>
      </c>
      <c r="DC262" s="25" t="s">
        <v>116</v>
      </c>
      <c r="DD262" s="34">
        <f t="shared" ref="DD262:DD267" si="60">ROUND(0.075*SUM(AD262,AF262,AH262,AJ262,AL262,AN262,AP262,AR262,AT262,AV262,AX262,AZ262,BB262,BR262,BT262,BV262,BX262,BZ262,CB262,CD262,CF262,CJ262,CL262,CN262,CP262,CR262,CT262,CV262,CX262,CZ262),0)</f>
        <v>1596</v>
      </c>
      <c r="DE262" t="s">
        <v>2190</v>
      </c>
      <c r="DF262" t="str">
        <f t="shared" ref="DF262:DF267" si="61">A262&amp;"#"&amp;C262&amp;"#"&amp;D262</f>
        <v xml:space="preserve">Spain#Company#Spain SL </v>
      </c>
      <c r="DG262" t="b">
        <f t="shared" ref="DG262:DG267" si="62">DE262=DF262</f>
        <v>1</v>
      </c>
    </row>
    <row r="263" spans="1:111" ht="90" hidden="1" customHeight="1" x14ac:dyDescent="0.35">
      <c r="A263" s="18" t="s">
        <v>2175</v>
      </c>
      <c r="B263" s="35" t="s">
        <v>2176</v>
      </c>
      <c r="C263" s="18" t="s">
        <v>88</v>
      </c>
      <c r="D263" s="19" t="s">
        <v>2191</v>
      </c>
      <c r="E263" s="18" t="s">
        <v>817</v>
      </c>
      <c r="F263" s="20" t="s">
        <v>2192</v>
      </c>
      <c r="G263" s="20" t="s">
        <v>2193</v>
      </c>
      <c r="H263" s="20" t="s">
        <v>2194</v>
      </c>
      <c r="I263" s="20" t="s">
        <v>1161</v>
      </c>
      <c r="J263" s="20" t="s">
        <v>2181</v>
      </c>
      <c r="K263" s="20" t="s">
        <v>96</v>
      </c>
      <c r="L263" s="20" t="s">
        <v>97</v>
      </c>
      <c r="M263" s="20" t="s">
        <v>98</v>
      </c>
      <c r="N263" s="20" t="s">
        <v>102</v>
      </c>
      <c r="O263" s="20" t="s">
        <v>100</v>
      </c>
      <c r="P263" s="20" t="s">
        <v>101</v>
      </c>
      <c r="Q263" s="20"/>
      <c r="R263" s="20" t="s">
        <v>2183</v>
      </c>
      <c r="S263" s="20" t="s">
        <v>104</v>
      </c>
      <c r="T263" s="20" t="s">
        <v>2184</v>
      </c>
      <c r="U263" s="20" t="s">
        <v>2185</v>
      </c>
      <c r="V263" s="21" t="s">
        <v>243</v>
      </c>
      <c r="W263" s="21" t="s">
        <v>203</v>
      </c>
      <c r="X263" s="21" t="s">
        <v>109</v>
      </c>
      <c r="Y263" s="21" t="s">
        <v>2186</v>
      </c>
      <c r="Z263" s="21" t="s">
        <v>256</v>
      </c>
      <c r="AA263" s="21" t="s">
        <v>112</v>
      </c>
      <c r="AB263" s="21" t="s">
        <v>2195</v>
      </c>
      <c r="AC263" s="21" t="s">
        <v>2188</v>
      </c>
      <c r="AD263" s="22">
        <v>4000</v>
      </c>
      <c r="AE263" s="23" t="s">
        <v>115</v>
      </c>
      <c r="AF263" s="24"/>
      <c r="AG263" s="23" t="s">
        <v>116</v>
      </c>
      <c r="AH263" s="24"/>
      <c r="AI263" s="25" t="s">
        <v>117</v>
      </c>
      <c r="AJ263" s="24"/>
      <c r="AK263" s="25" t="s">
        <v>117</v>
      </c>
      <c r="AL263" s="22">
        <v>0</v>
      </c>
      <c r="AM263" s="23" t="s">
        <v>115</v>
      </c>
      <c r="AN263" s="26">
        <v>1000</v>
      </c>
      <c r="AO263" s="25" t="s">
        <v>116</v>
      </c>
      <c r="AP263" s="22">
        <v>2700</v>
      </c>
      <c r="AQ263" s="23" t="s">
        <v>115</v>
      </c>
      <c r="AR263" s="24"/>
      <c r="AS263" s="23" t="s">
        <v>117</v>
      </c>
      <c r="AT263" s="22">
        <v>7000</v>
      </c>
      <c r="AU263" s="23" t="s">
        <v>116</v>
      </c>
      <c r="AV263" s="22">
        <v>2000</v>
      </c>
      <c r="AW263" s="23" t="s">
        <v>115</v>
      </c>
      <c r="AX263" s="22">
        <v>3200</v>
      </c>
      <c r="AY263" s="23" t="s">
        <v>115</v>
      </c>
      <c r="AZ263" s="24"/>
      <c r="BA263" s="23" t="s">
        <v>115</v>
      </c>
      <c r="BB263" s="24"/>
      <c r="BC263" s="23" t="s">
        <v>115</v>
      </c>
      <c r="BD263" s="22">
        <v>4000</v>
      </c>
      <c r="BE263" s="23" t="s">
        <v>115</v>
      </c>
      <c r="BF263" s="26">
        <v>760</v>
      </c>
      <c r="BG263" s="23" t="s">
        <v>115</v>
      </c>
      <c r="BH263" s="24"/>
      <c r="BI263" s="25" t="s">
        <v>117</v>
      </c>
      <c r="BJ263" s="24"/>
      <c r="BK263" s="25" t="s">
        <v>117</v>
      </c>
      <c r="BL263" s="24"/>
      <c r="BM263" s="25" t="s">
        <v>117</v>
      </c>
      <c r="BN263" s="24"/>
      <c r="BO263" s="25" t="s">
        <v>117</v>
      </c>
      <c r="BP263" s="24"/>
      <c r="BQ263" s="25" t="s">
        <v>117</v>
      </c>
      <c r="BR263" s="24"/>
      <c r="BS263" s="25" t="s">
        <v>117</v>
      </c>
      <c r="BT263" s="24"/>
      <c r="BU263" s="25" t="s">
        <v>117</v>
      </c>
      <c r="BV263" s="24"/>
      <c r="BW263" s="25" t="s">
        <v>117</v>
      </c>
      <c r="BX263" s="24"/>
      <c r="BY263" s="25" t="s">
        <v>117</v>
      </c>
      <c r="BZ263" s="24"/>
      <c r="CA263" s="25" t="s">
        <v>117</v>
      </c>
      <c r="CB263" s="24"/>
      <c r="CC263" s="25" t="s">
        <v>117</v>
      </c>
      <c r="CD263" s="24"/>
      <c r="CE263" s="25" t="s">
        <v>117</v>
      </c>
      <c r="CF263" s="24"/>
      <c r="CG263" s="25" t="s">
        <v>117</v>
      </c>
      <c r="CH263" s="24"/>
      <c r="CI263" s="25"/>
      <c r="CJ263" s="24"/>
      <c r="CK263" s="29" t="s">
        <v>117</v>
      </c>
      <c r="CL263" s="24"/>
      <c r="CM263" s="29" t="s">
        <v>117</v>
      </c>
      <c r="CN263" s="24"/>
      <c r="CO263" s="25" t="s">
        <v>117</v>
      </c>
      <c r="CP263" s="30">
        <v>400</v>
      </c>
      <c r="CQ263" s="23" t="s">
        <v>115</v>
      </c>
      <c r="CR263" s="32"/>
      <c r="CS263" s="23" t="s">
        <v>117</v>
      </c>
      <c r="CT263" s="32"/>
      <c r="CU263" s="23" t="s">
        <v>117</v>
      </c>
      <c r="CV263" s="32"/>
      <c r="CW263" s="23" t="s">
        <v>117</v>
      </c>
      <c r="CX263" s="32"/>
      <c r="CY263" s="25" t="s">
        <v>117</v>
      </c>
      <c r="CZ263" s="32"/>
      <c r="DA263" s="25" t="s">
        <v>117</v>
      </c>
      <c r="DB263" s="33" t="s">
        <v>2189</v>
      </c>
      <c r="DC263" s="25" t="s">
        <v>116</v>
      </c>
      <c r="DD263" s="34">
        <f t="shared" si="60"/>
        <v>1523</v>
      </c>
      <c r="DE263" t="s">
        <v>2196</v>
      </c>
      <c r="DF263" t="str">
        <f t="shared" si="61"/>
        <v>Spain#Company#Spain SL under the ETVE regime</v>
      </c>
      <c r="DG263" t="b">
        <f t="shared" si="62"/>
        <v>1</v>
      </c>
    </row>
    <row r="264" spans="1:111" ht="78.75" customHeight="1" x14ac:dyDescent="0.35">
      <c r="A264" s="35" t="s">
        <v>2175</v>
      </c>
      <c r="B264" s="35" t="s">
        <v>2197</v>
      </c>
      <c r="C264" s="35" t="s">
        <v>141</v>
      </c>
      <c r="D264" s="36" t="s">
        <v>2198</v>
      </c>
      <c r="E264" s="35" t="s">
        <v>90</v>
      </c>
      <c r="F264" s="20" t="s">
        <v>2199</v>
      </c>
      <c r="G264" s="20" t="s">
        <v>2200</v>
      </c>
      <c r="H264" s="20" t="s">
        <v>145</v>
      </c>
      <c r="I264" s="20" t="s">
        <v>146</v>
      </c>
      <c r="J264" s="20" t="s">
        <v>2181</v>
      </c>
      <c r="K264" s="20" t="s">
        <v>96</v>
      </c>
      <c r="L264" s="20" t="s">
        <v>97</v>
      </c>
      <c r="M264" s="20" t="s">
        <v>98</v>
      </c>
      <c r="N264" s="20" t="s">
        <v>147</v>
      </c>
      <c r="O264" s="20" t="s">
        <v>148</v>
      </c>
      <c r="P264" s="20" t="s">
        <v>149</v>
      </c>
      <c r="Q264" s="20" t="s">
        <v>150</v>
      </c>
      <c r="R264" s="20" t="s">
        <v>151</v>
      </c>
      <c r="S264" s="20" t="s">
        <v>152</v>
      </c>
      <c r="T264" s="20" t="s">
        <v>153</v>
      </c>
      <c r="U264" s="20" t="s">
        <v>154</v>
      </c>
      <c r="V264" s="21" t="s">
        <v>292</v>
      </c>
      <c r="W264" s="21" t="s">
        <v>203</v>
      </c>
      <c r="X264" s="21" t="s">
        <v>109</v>
      </c>
      <c r="Y264" s="21" t="s">
        <v>2201</v>
      </c>
      <c r="Z264" s="21" t="s">
        <v>256</v>
      </c>
      <c r="AA264" s="21" t="s">
        <v>112</v>
      </c>
      <c r="AB264" s="21" t="s">
        <v>2202</v>
      </c>
      <c r="AC264" s="21" t="s">
        <v>2203</v>
      </c>
      <c r="AE264" s="23" t="s">
        <v>115</v>
      </c>
      <c r="AF264" s="38"/>
      <c r="AG264" s="23" t="s">
        <v>116</v>
      </c>
      <c r="AH264" s="38"/>
      <c r="AI264" s="25" t="s">
        <v>117</v>
      </c>
      <c r="AJ264" s="38"/>
      <c r="AK264" s="25" t="s">
        <v>117</v>
      </c>
      <c r="AL264" s="22">
        <v>0</v>
      </c>
      <c r="AM264" s="23" t="s">
        <v>115</v>
      </c>
      <c r="AN264" s="38"/>
      <c r="AO264" s="25" t="s">
        <v>117</v>
      </c>
      <c r="AP264" s="39" t="s">
        <v>118</v>
      </c>
      <c r="AQ264" s="23" t="s">
        <v>115</v>
      </c>
      <c r="AR264" s="40"/>
      <c r="AS264" s="23" t="s">
        <v>117</v>
      </c>
      <c r="AT264" s="39" t="s">
        <v>118</v>
      </c>
      <c r="AU264" s="23" t="s">
        <v>116</v>
      </c>
      <c r="AV264" s="39" t="s">
        <v>118</v>
      </c>
      <c r="AW264" s="23" t="s">
        <v>115</v>
      </c>
      <c r="AX264" s="39" t="s">
        <v>118</v>
      </c>
      <c r="AY264" s="23" t="s">
        <v>115</v>
      </c>
      <c r="AZ264" s="39" t="s">
        <v>118</v>
      </c>
      <c r="BA264" s="23" t="s">
        <v>115</v>
      </c>
      <c r="BB264" s="40"/>
      <c r="BC264" s="23" t="s">
        <v>115</v>
      </c>
      <c r="BD264" s="39" t="s">
        <v>118</v>
      </c>
      <c r="BE264" s="23" t="s">
        <v>115</v>
      </c>
      <c r="BF264" s="39" t="s">
        <v>118</v>
      </c>
      <c r="BG264" s="23" t="s">
        <v>115</v>
      </c>
      <c r="BH264" s="40"/>
      <c r="BI264" s="25" t="s">
        <v>117</v>
      </c>
      <c r="BJ264" s="40"/>
      <c r="BK264" s="25" t="s">
        <v>117</v>
      </c>
      <c r="BL264" s="40"/>
      <c r="BM264" s="25" t="s">
        <v>117</v>
      </c>
      <c r="BN264" s="40"/>
      <c r="BO264" s="25" t="s">
        <v>117</v>
      </c>
      <c r="BP264" s="40"/>
      <c r="BQ264" s="25" t="s">
        <v>117</v>
      </c>
      <c r="BR264" s="37">
        <v>15000</v>
      </c>
      <c r="BS264" s="25" t="s">
        <v>115</v>
      </c>
      <c r="BT264" s="40"/>
      <c r="BU264" s="25" t="s">
        <v>117</v>
      </c>
      <c r="BV264" s="40"/>
      <c r="BW264" s="25" t="s">
        <v>117</v>
      </c>
      <c r="BX264" s="40"/>
      <c r="BY264" s="25" t="s">
        <v>117</v>
      </c>
      <c r="BZ264" s="46"/>
      <c r="CA264" s="25" t="s">
        <v>117</v>
      </c>
      <c r="CB264" s="45" t="s">
        <v>159</v>
      </c>
      <c r="CC264" s="25" t="s">
        <v>116</v>
      </c>
      <c r="CD264" s="40"/>
      <c r="CE264" s="25" t="s">
        <v>117</v>
      </c>
      <c r="CF264" s="40"/>
      <c r="CG264" s="25" t="s">
        <v>117</v>
      </c>
      <c r="CH264" s="151">
        <v>5000</v>
      </c>
      <c r="CI264" s="25" t="s">
        <v>116</v>
      </c>
      <c r="CJ264" s="151">
        <v>2500</v>
      </c>
      <c r="CK264" s="48" t="s">
        <v>116</v>
      </c>
      <c r="CL264" s="46">
        <v>1500</v>
      </c>
      <c r="CM264" s="48" t="s">
        <v>116</v>
      </c>
      <c r="CN264" s="46">
        <v>1500</v>
      </c>
      <c r="CO264" s="25" t="s">
        <v>116</v>
      </c>
      <c r="CP264" s="30">
        <v>400</v>
      </c>
      <c r="CQ264" s="23" t="s">
        <v>115</v>
      </c>
      <c r="CR264" s="32"/>
      <c r="CS264" s="23" t="s">
        <v>117</v>
      </c>
      <c r="CT264" s="32"/>
      <c r="CU264" s="23" t="s">
        <v>117</v>
      </c>
      <c r="CV264" s="32"/>
      <c r="CW264" s="23" t="s">
        <v>117</v>
      </c>
      <c r="CX264" s="32"/>
      <c r="CY264" s="25" t="s">
        <v>117</v>
      </c>
      <c r="CZ264" s="32"/>
      <c r="DA264" s="25" t="s">
        <v>117</v>
      </c>
      <c r="DB264" s="33" t="s">
        <v>120</v>
      </c>
      <c r="DC264" s="25" t="s">
        <v>116</v>
      </c>
      <c r="DD264" s="34">
        <f t="shared" si="60"/>
        <v>1568</v>
      </c>
      <c r="DE264" t="s">
        <v>2204</v>
      </c>
      <c r="DF264" t="str">
        <f t="shared" si="61"/>
        <v>Spain#Fund#Spain SCR</v>
      </c>
      <c r="DG264" t="b">
        <f t="shared" si="62"/>
        <v>1</v>
      </c>
    </row>
    <row r="265" spans="1:111" ht="78.75" customHeight="1" x14ac:dyDescent="0.35">
      <c r="A265" s="42" t="s">
        <v>2175</v>
      </c>
      <c r="B265" s="35" t="s">
        <v>2197</v>
      </c>
      <c r="C265" s="42" t="s">
        <v>141</v>
      </c>
      <c r="D265" s="43" t="s">
        <v>2205</v>
      </c>
      <c r="E265" s="42" t="s">
        <v>90</v>
      </c>
      <c r="F265" s="20" t="s">
        <v>2206</v>
      </c>
      <c r="G265" s="20" t="s">
        <v>2207</v>
      </c>
      <c r="H265" s="20" t="s">
        <v>145</v>
      </c>
      <c r="I265" s="20" t="s">
        <v>146</v>
      </c>
      <c r="J265" s="20" t="s">
        <v>2181</v>
      </c>
      <c r="K265" s="20" t="s">
        <v>96</v>
      </c>
      <c r="L265" s="20" t="s">
        <v>97</v>
      </c>
      <c r="M265" s="20" t="s">
        <v>98</v>
      </c>
      <c r="N265" s="20" t="s">
        <v>147</v>
      </c>
      <c r="O265" s="20" t="s">
        <v>148</v>
      </c>
      <c r="P265" s="20" t="s">
        <v>149</v>
      </c>
      <c r="Q265" s="20" t="s">
        <v>150</v>
      </c>
      <c r="R265" s="20" t="s">
        <v>151</v>
      </c>
      <c r="S265" s="20" t="s">
        <v>152</v>
      </c>
      <c r="T265" s="20" t="s">
        <v>153</v>
      </c>
      <c r="U265" s="20" t="s">
        <v>154</v>
      </c>
      <c r="V265" s="21" t="s">
        <v>292</v>
      </c>
      <c r="W265" s="21" t="s">
        <v>203</v>
      </c>
      <c r="X265" s="21" t="s">
        <v>772</v>
      </c>
      <c r="Y265" s="21" t="s">
        <v>2208</v>
      </c>
      <c r="Z265" s="21" t="s">
        <v>256</v>
      </c>
      <c r="AA265" s="21" t="s">
        <v>630</v>
      </c>
      <c r="AB265" s="21" t="s">
        <v>2209</v>
      </c>
      <c r="AC265" s="21" t="s">
        <v>2210</v>
      </c>
      <c r="AE265" s="23" t="s">
        <v>115</v>
      </c>
      <c r="AF265" s="44"/>
      <c r="AG265" s="23" t="s">
        <v>116</v>
      </c>
      <c r="AH265" s="44"/>
      <c r="AI265" s="25" t="s">
        <v>117</v>
      </c>
      <c r="AJ265" s="44"/>
      <c r="AK265" s="25" t="s">
        <v>117</v>
      </c>
      <c r="AL265" s="22">
        <v>0</v>
      </c>
      <c r="AM265" s="23" t="s">
        <v>115</v>
      </c>
      <c r="AN265" s="44"/>
      <c r="AO265" s="25" t="s">
        <v>117</v>
      </c>
      <c r="AP265" s="45" t="s">
        <v>118</v>
      </c>
      <c r="AQ265" s="23" t="s">
        <v>115</v>
      </c>
      <c r="AR265" s="46"/>
      <c r="AS265" s="23" t="s">
        <v>117</v>
      </c>
      <c r="AT265" s="45" t="s">
        <v>118</v>
      </c>
      <c r="AU265" s="23" t="s">
        <v>116</v>
      </c>
      <c r="AV265" s="45" t="s">
        <v>118</v>
      </c>
      <c r="AW265" s="23" t="s">
        <v>115</v>
      </c>
      <c r="AX265" s="45" t="s">
        <v>118</v>
      </c>
      <c r="AY265" s="23" t="s">
        <v>115</v>
      </c>
      <c r="AZ265" s="45" t="s">
        <v>118</v>
      </c>
      <c r="BA265" s="23" t="s">
        <v>115</v>
      </c>
      <c r="BB265" s="46"/>
      <c r="BC265" s="23" t="s">
        <v>115</v>
      </c>
      <c r="BD265" s="45" t="s">
        <v>118</v>
      </c>
      <c r="BE265" s="23" t="s">
        <v>115</v>
      </c>
      <c r="BF265" s="45" t="s">
        <v>118</v>
      </c>
      <c r="BG265" s="23" t="s">
        <v>115</v>
      </c>
      <c r="BH265" s="46"/>
      <c r="BI265" s="25" t="s">
        <v>117</v>
      </c>
      <c r="BJ265" s="46"/>
      <c r="BK265" s="25" t="s">
        <v>117</v>
      </c>
      <c r="BL265" s="46"/>
      <c r="BM265" s="25" t="s">
        <v>117</v>
      </c>
      <c r="BN265" s="46"/>
      <c r="BO265" s="25" t="s">
        <v>117</v>
      </c>
      <c r="BP265" s="46"/>
      <c r="BQ265" s="25" t="s">
        <v>117</v>
      </c>
      <c r="BR265" s="47">
        <v>15000</v>
      </c>
      <c r="BS265" s="25" t="s">
        <v>115</v>
      </c>
      <c r="BT265" s="46"/>
      <c r="BU265" s="25" t="s">
        <v>117</v>
      </c>
      <c r="BV265" s="46"/>
      <c r="BW265" s="25" t="s">
        <v>117</v>
      </c>
      <c r="BX265" s="46"/>
      <c r="BY265" s="25" t="s">
        <v>117</v>
      </c>
      <c r="BZ265" s="46"/>
      <c r="CA265" s="25" t="s">
        <v>117</v>
      </c>
      <c r="CB265" s="45" t="s">
        <v>159</v>
      </c>
      <c r="CC265" s="25" t="s">
        <v>116</v>
      </c>
      <c r="CD265" s="46"/>
      <c r="CE265" s="25" t="s">
        <v>117</v>
      </c>
      <c r="CF265" s="46"/>
      <c r="CG265" s="25" t="s">
        <v>117</v>
      </c>
      <c r="CH265" s="151">
        <v>5000</v>
      </c>
      <c r="CI265" s="25" t="s">
        <v>116</v>
      </c>
      <c r="CJ265" s="151">
        <v>2500</v>
      </c>
      <c r="CK265" s="48" t="s">
        <v>116</v>
      </c>
      <c r="CL265" s="46">
        <v>1500</v>
      </c>
      <c r="CM265" s="48" t="s">
        <v>116</v>
      </c>
      <c r="CN265" s="46">
        <v>1500</v>
      </c>
      <c r="CO265" s="25" t="s">
        <v>116</v>
      </c>
      <c r="CP265" s="30">
        <v>400</v>
      </c>
      <c r="CQ265" s="23" t="s">
        <v>115</v>
      </c>
      <c r="CR265" s="32"/>
      <c r="CS265" s="23" t="s">
        <v>117</v>
      </c>
      <c r="CT265" s="32"/>
      <c r="CU265" s="23" t="s">
        <v>117</v>
      </c>
      <c r="CV265" s="32"/>
      <c r="CW265" s="23" t="s">
        <v>117</v>
      </c>
      <c r="CX265" s="32"/>
      <c r="CY265" s="25" t="s">
        <v>117</v>
      </c>
      <c r="CZ265" s="32"/>
      <c r="DA265" s="25" t="s">
        <v>117</v>
      </c>
      <c r="DB265" s="33" t="s">
        <v>120</v>
      </c>
      <c r="DC265" s="25" t="s">
        <v>116</v>
      </c>
      <c r="DD265" s="34">
        <f t="shared" si="60"/>
        <v>1568</v>
      </c>
      <c r="DE265" t="s">
        <v>2211</v>
      </c>
      <c r="DF265" t="str">
        <f t="shared" si="61"/>
        <v>Spain#Fund#Spain FCR</v>
      </c>
      <c r="DG265" t="b">
        <f t="shared" si="62"/>
        <v>1</v>
      </c>
    </row>
    <row r="266" spans="1:111" ht="67.5" customHeight="1" x14ac:dyDescent="0.35">
      <c r="A266" s="35" t="s">
        <v>2175</v>
      </c>
      <c r="B266" s="35" t="s">
        <v>2197</v>
      </c>
      <c r="C266" s="35" t="s">
        <v>141</v>
      </c>
      <c r="D266" s="36" t="s">
        <v>2212</v>
      </c>
      <c r="E266" s="35" t="s">
        <v>90</v>
      </c>
      <c r="F266" s="20" t="s">
        <v>2213</v>
      </c>
      <c r="G266" s="20" t="s">
        <v>2214</v>
      </c>
      <c r="H266" s="20" t="s">
        <v>145</v>
      </c>
      <c r="I266" s="20" t="s">
        <v>146</v>
      </c>
      <c r="J266" s="20" t="s">
        <v>2181</v>
      </c>
      <c r="K266" s="20" t="s">
        <v>96</v>
      </c>
      <c r="L266" s="20" t="s">
        <v>97</v>
      </c>
      <c r="M266" s="20" t="s">
        <v>98</v>
      </c>
      <c r="N266" s="20" t="s">
        <v>147</v>
      </c>
      <c r="O266" s="20" t="s">
        <v>148</v>
      </c>
      <c r="P266" s="20" t="s">
        <v>149</v>
      </c>
      <c r="Q266" s="20" t="s">
        <v>150</v>
      </c>
      <c r="R266" s="20" t="s">
        <v>151</v>
      </c>
      <c r="S266" s="20" t="s">
        <v>152</v>
      </c>
      <c r="T266" s="20" t="s">
        <v>153</v>
      </c>
      <c r="U266" s="20" t="s">
        <v>154</v>
      </c>
      <c r="V266" s="21" t="s">
        <v>292</v>
      </c>
      <c r="W266" s="21" t="s">
        <v>203</v>
      </c>
      <c r="X266" s="21" t="s">
        <v>109</v>
      </c>
      <c r="Y266" s="21" t="s">
        <v>2215</v>
      </c>
      <c r="Z266" s="21" t="s">
        <v>256</v>
      </c>
      <c r="AA266" s="21" t="s">
        <v>112</v>
      </c>
      <c r="AB266" s="21" t="s">
        <v>2216</v>
      </c>
      <c r="AC266" s="21" t="s">
        <v>2217</v>
      </c>
      <c r="AE266" s="23" t="s">
        <v>115</v>
      </c>
      <c r="AF266" s="38"/>
      <c r="AG266" s="23" t="s">
        <v>116</v>
      </c>
      <c r="AH266" s="38"/>
      <c r="AI266" s="25" t="s">
        <v>117</v>
      </c>
      <c r="AJ266" s="38"/>
      <c r="AK266" s="25" t="s">
        <v>117</v>
      </c>
      <c r="AL266" s="22">
        <v>0</v>
      </c>
      <c r="AM266" s="23" t="s">
        <v>115</v>
      </c>
      <c r="AN266" s="38"/>
      <c r="AO266" s="25" t="s">
        <v>117</v>
      </c>
      <c r="AP266" s="39" t="s">
        <v>118</v>
      </c>
      <c r="AQ266" s="23" t="s">
        <v>115</v>
      </c>
      <c r="AR266" s="40"/>
      <c r="AS266" s="23" t="s">
        <v>117</v>
      </c>
      <c r="AT266" s="39" t="s">
        <v>118</v>
      </c>
      <c r="AU266" s="23" t="s">
        <v>116</v>
      </c>
      <c r="AV266" s="39" t="s">
        <v>118</v>
      </c>
      <c r="AW266" s="23" t="s">
        <v>115</v>
      </c>
      <c r="AX266" s="39" t="s">
        <v>118</v>
      </c>
      <c r="AY266" s="23" t="s">
        <v>115</v>
      </c>
      <c r="AZ266" s="39" t="s">
        <v>118</v>
      </c>
      <c r="BA266" s="23" t="s">
        <v>115</v>
      </c>
      <c r="BB266" s="40"/>
      <c r="BC266" s="23" t="s">
        <v>115</v>
      </c>
      <c r="BD266" s="39" t="s">
        <v>118</v>
      </c>
      <c r="BE266" s="23" t="s">
        <v>115</v>
      </c>
      <c r="BF266" s="39" t="s">
        <v>118</v>
      </c>
      <c r="BG266" s="23" t="s">
        <v>115</v>
      </c>
      <c r="BH266" s="40"/>
      <c r="BI266" s="25" t="s">
        <v>117</v>
      </c>
      <c r="BJ266" s="40"/>
      <c r="BK266" s="25" t="s">
        <v>117</v>
      </c>
      <c r="BL266" s="40"/>
      <c r="BM266" s="25" t="s">
        <v>117</v>
      </c>
      <c r="BN266" s="40"/>
      <c r="BO266" s="25" t="s">
        <v>117</v>
      </c>
      <c r="BP266" s="40"/>
      <c r="BQ266" s="25" t="s">
        <v>117</v>
      </c>
      <c r="BR266" s="37">
        <v>15000</v>
      </c>
      <c r="BS266" s="25" t="s">
        <v>115</v>
      </c>
      <c r="BT266" s="40"/>
      <c r="BU266" s="25" t="s">
        <v>117</v>
      </c>
      <c r="BV266" s="40"/>
      <c r="BW266" s="25" t="s">
        <v>117</v>
      </c>
      <c r="BX266" s="40"/>
      <c r="BY266" s="25" t="s">
        <v>117</v>
      </c>
      <c r="BZ266" s="46"/>
      <c r="CA266" s="25" t="s">
        <v>117</v>
      </c>
      <c r="CB266" s="45" t="s">
        <v>159</v>
      </c>
      <c r="CC266" s="25" t="s">
        <v>116</v>
      </c>
      <c r="CD266" s="40"/>
      <c r="CE266" s="25" t="s">
        <v>117</v>
      </c>
      <c r="CF266" s="40"/>
      <c r="CG266" s="25" t="s">
        <v>117</v>
      </c>
      <c r="CH266" s="151">
        <v>5000</v>
      </c>
      <c r="CI266" s="25" t="s">
        <v>116</v>
      </c>
      <c r="CJ266" s="151">
        <v>2500</v>
      </c>
      <c r="CK266" s="48" t="s">
        <v>116</v>
      </c>
      <c r="CL266" s="46">
        <v>1500</v>
      </c>
      <c r="CM266" s="48" t="s">
        <v>116</v>
      </c>
      <c r="CN266" s="46">
        <v>1500</v>
      </c>
      <c r="CO266" s="25" t="s">
        <v>116</v>
      </c>
      <c r="CP266" s="30">
        <v>400</v>
      </c>
      <c r="CQ266" s="23" t="s">
        <v>115</v>
      </c>
      <c r="CR266" s="32"/>
      <c r="CS266" s="23" t="s">
        <v>117</v>
      </c>
      <c r="CT266" s="32"/>
      <c r="CU266" s="23" t="s">
        <v>117</v>
      </c>
      <c r="CV266" s="32"/>
      <c r="CW266" s="23" t="s">
        <v>117</v>
      </c>
      <c r="CX266" s="32"/>
      <c r="CY266" s="25" t="s">
        <v>117</v>
      </c>
      <c r="CZ266" s="32"/>
      <c r="DA266" s="25" t="s">
        <v>117</v>
      </c>
      <c r="DB266" s="33" t="s">
        <v>120</v>
      </c>
      <c r="DC266" s="25" t="s">
        <v>116</v>
      </c>
      <c r="DD266" s="34">
        <f t="shared" si="60"/>
        <v>1568</v>
      </c>
      <c r="DE266" t="s">
        <v>2218</v>
      </c>
      <c r="DF266" t="str">
        <f t="shared" si="61"/>
        <v>Spain#Fund#Spain SICC</v>
      </c>
      <c r="DG266" t="b">
        <f t="shared" si="62"/>
        <v>1</v>
      </c>
    </row>
    <row r="267" spans="1:111" ht="15" customHeight="1" x14ac:dyDescent="0.35">
      <c r="A267" s="42" t="s">
        <v>2175</v>
      </c>
      <c r="B267" s="35" t="s">
        <v>2197</v>
      </c>
      <c r="C267" s="42" t="s">
        <v>141</v>
      </c>
      <c r="D267" s="43" t="s">
        <v>2219</v>
      </c>
      <c r="E267" s="42" t="s">
        <v>90</v>
      </c>
      <c r="F267" s="20" t="s">
        <v>2220</v>
      </c>
      <c r="G267" s="20" t="s">
        <v>2221</v>
      </c>
      <c r="H267" s="20" t="s">
        <v>145</v>
      </c>
      <c r="I267" s="20" t="s">
        <v>146</v>
      </c>
      <c r="J267" s="20" t="s">
        <v>2181</v>
      </c>
      <c r="K267" s="20" t="s">
        <v>96</v>
      </c>
      <c r="L267" s="20" t="s">
        <v>97</v>
      </c>
      <c r="M267" s="20" t="s">
        <v>98</v>
      </c>
      <c r="N267" s="20" t="s">
        <v>147</v>
      </c>
      <c r="O267" s="20" t="s">
        <v>148</v>
      </c>
      <c r="P267" s="20" t="s">
        <v>149</v>
      </c>
      <c r="Q267" s="20" t="s">
        <v>150</v>
      </c>
      <c r="R267" s="20" t="s">
        <v>151</v>
      </c>
      <c r="S267" s="20" t="s">
        <v>152</v>
      </c>
      <c r="T267" s="20" t="s">
        <v>153</v>
      </c>
      <c r="U267" s="20" t="s">
        <v>154</v>
      </c>
      <c r="V267" s="21" t="s">
        <v>292</v>
      </c>
      <c r="W267" s="21" t="s">
        <v>203</v>
      </c>
      <c r="X267" s="21" t="s">
        <v>772</v>
      </c>
      <c r="Y267" s="21" t="s">
        <v>2222</v>
      </c>
      <c r="Z267" s="21" t="s">
        <v>256</v>
      </c>
      <c r="AA267" s="21" t="s">
        <v>630</v>
      </c>
      <c r="AB267" s="21" t="s">
        <v>2223</v>
      </c>
      <c r="AC267" s="21" t="s">
        <v>2224</v>
      </c>
      <c r="AE267" s="23" t="s">
        <v>115</v>
      </c>
      <c r="AF267" s="44"/>
      <c r="AG267" s="23" t="s">
        <v>116</v>
      </c>
      <c r="AH267" s="44"/>
      <c r="AI267" s="25" t="s">
        <v>117</v>
      </c>
      <c r="AJ267" s="44"/>
      <c r="AK267" s="25" t="s">
        <v>117</v>
      </c>
      <c r="AL267" s="22">
        <v>0</v>
      </c>
      <c r="AM267" s="23" t="s">
        <v>115</v>
      </c>
      <c r="AN267" s="44"/>
      <c r="AO267" s="25" t="s">
        <v>117</v>
      </c>
      <c r="AP267" s="45" t="s">
        <v>118</v>
      </c>
      <c r="AQ267" s="23" t="s">
        <v>115</v>
      </c>
      <c r="AR267" s="46"/>
      <c r="AS267" s="23" t="s">
        <v>117</v>
      </c>
      <c r="AT267" s="45" t="s">
        <v>118</v>
      </c>
      <c r="AU267" s="23" t="s">
        <v>116</v>
      </c>
      <c r="AV267" s="45" t="s">
        <v>118</v>
      </c>
      <c r="AW267" s="23" t="s">
        <v>115</v>
      </c>
      <c r="AX267" s="45" t="s">
        <v>118</v>
      </c>
      <c r="AY267" s="23" t="s">
        <v>115</v>
      </c>
      <c r="AZ267" s="45" t="s">
        <v>118</v>
      </c>
      <c r="BA267" s="23" t="s">
        <v>115</v>
      </c>
      <c r="BB267" s="46"/>
      <c r="BC267" s="23" t="s">
        <v>115</v>
      </c>
      <c r="BD267" s="45" t="s">
        <v>118</v>
      </c>
      <c r="BE267" s="23" t="s">
        <v>115</v>
      </c>
      <c r="BF267" s="45" t="s">
        <v>118</v>
      </c>
      <c r="BG267" s="23" t="s">
        <v>115</v>
      </c>
      <c r="BH267" s="46"/>
      <c r="BI267" s="25" t="s">
        <v>117</v>
      </c>
      <c r="BJ267" s="46"/>
      <c r="BK267" s="25" t="s">
        <v>117</v>
      </c>
      <c r="BL267" s="46"/>
      <c r="BM267" s="25" t="s">
        <v>117</v>
      </c>
      <c r="BN267" s="46"/>
      <c r="BO267" s="25" t="s">
        <v>117</v>
      </c>
      <c r="BP267" s="46"/>
      <c r="BQ267" s="25" t="s">
        <v>117</v>
      </c>
      <c r="BR267" s="47">
        <v>15000</v>
      </c>
      <c r="BS267" s="25" t="s">
        <v>115</v>
      </c>
      <c r="BT267" s="46"/>
      <c r="BU267" s="25" t="s">
        <v>117</v>
      </c>
      <c r="BV267" s="46"/>
      <c r="BW267" s="25" t="s">
        <v>117</v>
      </c>
      <c r="BX267" s="46"/>
      <c r="BY267" s="25" t="s">
        <v>117</v>
      </c>
      <c r="BZ267" s="46"/>
      <c r="CA267" s="25" t="s">
        <v>117</v>
      </c>
      <c r="CB267" s="45" t="s">
        <v>159</v>
      </c>
      <c r="CC267" s="25" t="s">
        <v>116</v>
      </c>
      <c r="CD267" s="46"/>
      <c r="CE267" s="25" t="s">
        <v>117</v>
      </c>
      <c r="CF267" s="46"/>
      <c r="CG267" s="25" t="s">
        <v>117</v>
      </c>
      <c r="CH267" s="151">
        <v>5000</v>
      </c>
      <c r="CI267" s="25" t="s">
        <v>116</v>
      </c>
      <c r="CJ267" s="151">
        <v>2500</v>
      </c>
      <c r="CK267" s="48" t="s">
        <v>116</v>
      </c>
      <c r="CL267" s="46">
        <v>1500</v>
      </c>
      <c r="CM267" s="48" t="s">
        <v>116</v>
      </c>
      <c r="CN267" s="46">
        <v>1500</v>
      </c>
      <c r="CO267" s="25" t="s">
        <v>116</v>
      </c>
      <c r="CP267" s="30">
        <v>400</v>
      </c>
      <c r="CQ267" s="23" t="s">
        <v>115</v>
      </c>
      <c r="CR267" s="32"/>
      <c r="CS267" s="23" t="s">
        <v>117</v>
      </c>
      <c r="CT267" s="32"/>
      <c r="CU267" s="23" t="s">
        <v>117</v>
      </c>
      <c r="CV267" s="32"/>
      <c r="CW267" s="23" t="s">
        <v>117</v>
      </c>
      <c r="CX267" s="32"/>
      <c r="CY267" s="25" t="s">
        <v>117</v>
      </c>
      <c r="CZ267" s="32"/>
      <c r="DA267" s="25" t="s">
        <v>117</v>
      </c>
      <c r="DB267" s="33" t="s">
        <v>120</v>
      </c>
      <c r="DC267" s="25" t="s">
        <v>116</v>
      </c>
      <c r="DD267" s="34">
        <f t="shared" si="60"/>
        <v>1568</v>
      </c>
      <c r="DE267" t="s">
        <v>2225</v>
      </c>
      <c r="DF267" t="str">
        <f t="shared" si="61"/>
        <v>Spain#Fund#Spain FICC</v>
      </c>
      <c r="DG267" t="b">
        <f t="shared" si="62"/>
        <v>1</v>
      </c>
    </row>
    <row r="268" spans="1:111" ht="78.75" hidden="1" customHeight="1" x14ac:dyDescent="0.35">
      <c r="A268" s="184" t="s">
        <v>2226</v>
      </c>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c r="AA268" s="184"/>
      <c r="AB268" s="184"/>
      <c r="AC268" s="184"/>
      <c r="AD268" s="184"/>
      <c r="AE268" s="184"/>
      <c r="AF268" s="184"/>
      <c r="AG268" s="184"/>
      <c r="AH268" s="184"/>
      <c r="AI268" s="184"/>
      <c r="AJ268" s="184"/>
      <c r="AK268" s="184"/>
      <c r="AL268" s="184"/>
      <c r="AM268" s="184"/>
      <c r="AN268" s="184"/>
      <c r="AO268" s="184"/>
      <c r="AP268" s="184"/>
      <c r="AQ268" s="184"/>
      <c r="AR268" s="184"/>
      <c r="AS268" s="184"/>
      <c r="AT268" s="184"/>
      <c r="AU268" s="184"/>
      <c r="AV268" s="184"/>
      <c r="AW268" s="184"/>
      <c r="AX268" s="184"/>
      <c r="AY268" s="184"/>
      <c r="AZ268" s="184"/>
      <c r="BA268" s="184"/>
      <c r="BB268" s="184"/>
      <c r="BC268" s="184"/>
      <c r="BD268" s="184"/>
      <c r="BE268" s="184"/>
      <c r="BF268" s="184"/>
      <c r="BG268" s="184"/>
      <c r="BH268" s="184"/>
      <c r="BI268" s="184"/>
      <c r="BJ268" s="184"/>
      <c r="BK268" s="184"/>
      <c r="BL268" s="184"/>
      <c r="BM268" s="184"/>
      <c r="BN268" s="184"/>
      <c r="BO268" s="184"/>
      <c r="BP268" s="184"/>
      <c r="BQ268" s="184"/>
      <c r="BR268" s="184"/>
      <c r="BS268" s="184"/>
      <c r="BT268" s="184"/>
      <c r="BU268" s="184"/>
      <c r="BV268" s="184"/>
      <c r="BW268" s="184"/>
      <c r="BX268" s="184"/>
      <c r="BY268" s="184"/>
      <c r="BZ268" s="184"/>
      <c r="CA268" s="184"/>
      <c r="CB268" s="184"/>
      <c r="CC268" s="184"/>
      <c r="CD268" s="184"/>
      <c r="CE268" s="184"/>
      <c r="CF268" s="184"/>
      <c r="CG268" s="184"/>
      <c r="CH268" s="184"/>
      <c r="CI268" s="184"/>
      <c r="CJ268" s="184"/>
      <c r="CK268" s="184"/>
      <c r="CL268" s="184"/>
      <c r="CM268" s="184"/>
      <c r="CN268" s="184"/>
      <c r="CO268" s="184"/>
      <c r="CP268" s="184"/>
      <c r="CQ268" s="184"/>
      <c r="CR268" s="184"/>
      <c r="CS268" s="184"/>
      <c r="CT268" s="184"/>
      <c r="CU268" s="184"/>
      <c r="CV268" s="184"/>
      <c r="CW268" s="184"/>
      <c r="CX268" s="184"/>
      <c r="CY268" s="184"/>
      <c r="CZ268" s="184"/>
      <c r="DA268" s="184"/>
      <c r="DB268" s="184"/>
      <c r="DC268" s="184"/>
      <c r="DE268" t="s">
        <v>85</v>
      </c>
      <c r="DF268" t="str">
        <f>A250&amp;"#"&amp;C250&amp;"#"&amp;D250</f>
        <v>Singapore#Fund#Singapore LP</v>
      </c>
    </row>
    <row r="269" spans="1:111" ht="32.25" hidden="1" customHeight="1" x14ac:dyDescent="0.35">
      <c r="A269" s="18" t="s">
        <v>2227</v>
      </c>
      <c r="B269" s="72" t="s">
        <v>1156</v>
      </c>
      <c r="C269" s="18" t="s">
        <v>88</v>
      </c>
      <c r="D269" s="19" t="s">
        <v>2228</v>
      </c>
      <c r="E269" s="18" t="s">
        <v>2229</v>
      </c>
      <c r="F269" s="20" t="s">
        <v>2230</v>
      </c>
      <c r="G269" s="20" t="s">
        <v>2231</v>
      </c>
      <c r="H269" s="20" t="s">
        <v>1160</v>
      </c>
      <c r="I269" s="20" t="s">
        <v>1161</v>
      </c>
      <c r="J269" s="20" t="s">
        <v>2232</v>
      </c>
      <c r="K269" s="20" t="s">
        <v>96</v>
      </c>
      <c r="L269" s="20" t="s">
        <v>97</v>
      </c>
      <c r="M269" s="20" t="s">
        <v>98</v>
      </c>
      <c r="N269" s="20" t="s">
        <v>2233</v>
      </c>
      <c r="O269" s="20" t="s">
        <v>100</v>
      </c>
      <c r="P269" s="20" t="s">
        <v>101</v>
      </c>
      <c r="Q269" s="20" t="s">
        <v>102</v>
      </c>
      <c r="R269" s="20" t="s">
        <v>103</v>
      </c>
      <c r="S269" s="20" t="s">
        <v>104</v>
      </c>
      <c r="T269" s="20" t="s">
        <v>105</v>
      </c>
      <c r="U269" s="20" t="s">
        <v>106</v>
      </c>
      <c r="V269" s="21" t="s">
        <v>2234</v>
      </c>
      <c r="W269" s="21" t="s">
        <v>203</v>
      </c>
      <c r="X269" s="21" t="s">
        <v>2235</v>
      </c>
      <c r="Y269" s="21" t="s">
        <v>2236</v>
      </c>
      <c r="Z269" s="21" t="s">
        <v>256</v>
      </c>
      <c r="AA269" s="21" t="s">
        <v>2237</v>
      </c>
      <c r="AB269" s="21" t="s">
        <v>2238</v>
      </c>
      <c r="AC269" s="21" t="s">
        <v>2239</v>
      </c>
      <c r="AD269" s="22">
        <v>1000</v>
      </c>
      <c r="AE269" s="23" t="s">
        <v>115</v>
      </c>
      <c r="AF269" s="143"/>
      <c r="AG269" s="23" t="s">
        <v>116</v>
      </c>
      <c r="AH269" s="143"/>
      <c r="AI269" s="25" t="s">
        <v>117</v>
      </c>
      <c r="AJ269" s="143"/>
      <c r="AK269" s="25" t="s">
        <v>117</v>
      </c>
      <c r="AL269" s="22">
        <v>0</v>
      </c>
      <c r="AM269" s="23" t="s">
        <v>115</v>
      </c>
      <c r="AN269" s="143"/>
      <c r="AO269" s="25" t="s">
        <v>117</v>
      </c>
      <c r="AP269" s="22">
        <v>7500</v>
      </c>
      <c r="AQ269" s="23" t="s">
        <v>115</v>
      </c>
      <c r="AR269" s="143"/>
      <c r="AS269" s="23" t="s">
        <v>117</v>
      </c>
      <c r="AT269" s="61">
        <v>7500</v>
      </c>
      <c r="AU269" s="23" t="s">
        <v>116</v>
      </c>
      <c r="AV269" s="26">
        <v>2700</v>
      </c>
      <c r="AW269" s="23" t="s">
        <v>115</v>
      </c>
      <c r="AX269" s="27" t="s">
        <v>118</v>
      </c>
      <c r="AY269" s="23" t="s">
        <v>115</v>
      </c>
      <c r="AZ269" s="27" t="s">
        <v>118</v>
      </c>
      <c r="BA269" s="23" t="s">
        <v>115</v>
      </c>
      <c r="BB269" s="144"/>
      <c r="BC269" s="23" t="s">
        <v>115</v>
      </c>
      <c r="BD269" s="26">
        <v>4700</v>
      </c>
      <c r="BE269" s="23" t="s">
        <v>115</v>
      </c>
      <c r="BF269" s="22">
        <v>2050</v>
      </c>
      <c r="BG269" s="23" t="s">
        <v>115</v>
      </c>
      <c r="BH269" s="26">
        <v>1500</v>
      </c>
      <c r="BI269" s="25" t="s">
        <v>116</v>
      </c>
      <c r="BJ269" s="24"/>
      <c r="BK269" s="25" t="s">
        <v>117</v>
      </c>
      <c r="BL269" s="24"/>
      <c r="BM269" s="25" t="s">
        <v>117</v>
      </c>
      <c r="BN269" s="24"/>
      <c r="BO269" s="25" t="s">
        <v>117</v>
      </c>
      <c r="BP269" s="24"/>
      <c r="BQ269" s="25" t="s">
        <v>117</v>
      </c>
      <c r="BR269" s="24"/>
      <c r="BS269" s="25" t="s">
        <v>117</v>
      </c>
      <c r="BT269" s="24"/>
      <c r="BU269" s="25" t="s">
        <v>117</v>
      </c>
      <c r="BV269" s="24"/>
      <c r="BW269" s="25" t="s">
        <v>117</v>
      </c>
      <c r="BX269" s="24"/>
      <c r="BY269" s="25" t="s">
        <v>117</v>
      </c>
      <c r="BZ269" s="24"/>
      <c r="CA269" s="25" t="s">
        <v>117</v>
      </c>
      <c r="CB269" s="24"/>
      <c r="CC269" s="25" t="s">
        <v>117</v>
      </c>
      <c r="CD269" s="24"/>
      <c r="CE269" s="25" t="s">
        <v>117</v>
      </c>
      <c r="CF269" s="24"/>
      <c r="CG269" s="25" t="s">
        <v>117</v>
      </c>
      <c r="CH269" s="24"/>
      <c r="CI269" s="25"/>
      <c r="CJ269" s="24"/>
      <c r="CK269" s="29" t="s">
        <v>117</v>
      </c>
      <c r="CL269" s="24"/>
      <c r="CM269" s="29" t="s">
        <v>117</v>
      </c>
      <c r="CN269" s="24"/>
      <c r="CO269" s="25" t="s">
        <v>117</v>
      </c>
      <c r="CP269" s="30">
        <v>400</v>
      </c>
      <c r="CQ269" s="23" t="s">
        <v>115</v>
      </c>
      <c r="CR269" s="32"/>
      <c r="CS269" s="23" t="s">
        <v>117</v>
      </c>
      <c r="CT269" s="32"/>
      <c r="CU269" s="23" t="s">
        <v>117</v>
      </c>
      <c r="CV269" s="32"/>
      <c r="CW269" s="23" t="s">
        <v>117</v>
      </c>
      <c r="CX269" s="32"/>
      <c r="CY269" s="25" t="s">
        <v>117</v>
      </c>
      <c r="CZ269" s="32"/>
      <c r="DA269" s="25" t="s">
        <v>117</v>
      </c>
      <c r="DB269" s="33" t="s">
        <v>2240</v>
      </c>
      <c r="DC269" s="25" t="s">
        <v>116</v>
      </c>
      <c r="DD269" s="34">
        <f>ROUND(0.075*SUM(AD269,AF269,AH269,AJ269,AL269,AN269,AP269,AR269,AT269,AV269,AX269,AZ269,BB269,BR269,BT269,BV269,BX269,BZ269,CB269,CD269,CF269,CJ269,CL269,CN269,CP269,CR269,CT269,CV269,CX269,CZ269),0)</f>
        <v>1433</v>
      </c>
      <c r="DE269" t="s">
        <v>2241</v>
      </c>
      <c r="DF269" t="str">
        <f>A269&amp;"#"&amp;C269&amp;"#"&amp;D269</f>
        <v>Switzerland#Company#Switzerland Branch</v>
      </c>
      <c r="DG269" t="b">
        <f>DE269=DF269</f>
        <v>1</v>
      </c>
    </row>
    <row r="270" spans="1:111" ht="23.25" hidden="1" customHeight="1" x14ac:dyDescent="0.35">
      <c r="A270" s="72" t="s">
        <v>2227</v>
      </c>
      <c r="B270" s="72" t="s">
        <v>1156</v>
      </c>
      <c r="C270" s="72" t="s">
        <v>88</v>
      </c>
      <c r="D270" s="73" t="s">
        <v>2242</v>
      </c>
      <c r="E270" s="72" t="s">
        <v>2229</v>
      </c>
      <c r="F270" s="20" t="s">
        <v>1171</v>
      </c>
      <c r="G270" s="20" t="s">
        <v>2243</v>
      </c>
      <c r="H270" s="20" t="s">
        <v>1160</v>
      </c>
      <c r="I270" s="20" t="s">
        <v>1161</v>
      </c>
      <c r="J270" s="20" t="s">
        <v>2232</v>
      </c>
      <c r="K270" s="20" t="s">
        <v>96</v>
      </c>
      <c r="L270" s="20" t="s">
        <v>97</v>
      </c>
      <c r="M270" s="20" t="s">
        <v>98</v>
      </c>
      <c r="N270" s="20" t="s">
        <v>2233</v>
      </c>
      <c r="O270" s="20" t="s">
        <v>100</v>
      </c>
      <c r="P270" s="20" t="s">
        <v>101</v>
      </c>
      <c r="Q270" s="20" t="s">
        <v>102</v>
      </c>
      <c r="R270" s="20" t="s">
        <v>103</v>
      </c>
      <c r="S270" s="20" t="s">
        <v>104</v>
      </c>
      <c r="T270" s="20" t="s">
        <v>105</v>
      </c>
      <c r="U270" s="20" t="s">
        <v>106</v>
      </c>
      <c r="V270" s="21" t="s">
        <v>243</v>
      </c>
      <c r="W270" s="21" t="s">
        <v>203</v>
      </c>
      <c r="X270" s="21" t="s">
        <v>109</v>
      </c>
      <c r="Y270" s="21" t="s">
        <v>2244</v>
      </c>
      <c r="Z270" s="21" t="s">
        <v>256</v>
      </c>
      <c r="AA270" s="21" t="s">
        <v>112</v>
      </c>
      <c r="AB270" s="21" t="s">
        <v>2245</v>
      </c>
      <c r="AC270" s="21" t="s">
        <v>2246</v>
      </c>
      <c r="AD270" s="26">
        <v>1000</v>
      </c>
      <c r="AE270" s="23" t="s">
        <v>115</v>
      </c>
      <c r="AF270" s="74"/>
      <c r="AG270" s="23" t="s">
        <v>116</v>
      </c>
      <c r="AH270" s="74"/>
      <c r="AI270" s="25" t="s">
        <v>117</v>
      </c>
      <c r="AJ270" s="74"/>
      <c r="AK270" s="25" t="s">
        <v>117</v>
      </c>
      <c r="AL270" s="22">
        <v>0</v>
      </c>
      <c r="AM270" s="23" t="s">
        <v>115</v>
      </c>
      <c r="AN270" s="74"/>
      <c r="AO270" s="25" t="s">
        <v>117</v>
      </c>
      <c r="AP270" s="61">
        <v>7500</v>
      </c>
      <c r="AQ270" s="23" t="s">
        <v>115</v>
      </c>
      <c r="AR270" s="124"/>
      <c r="AS270" s="23" t="s">
        <v>117</v>
      </c>
      <c r="AT270" s="61">
        <v>7500</v>
      </c>
      <c r="AU270" s="23" t="s">
        <v>116</v>
      </c>
      <c r="AV270" s="26">
        <v>2700</v>
      </c>
      <c r="AW270" s="23" t="s">
        <v>115</v>
      </c>
      <c r="AX270" s="58" t="s">
        <v>118</v>
      </c>
      <c r="AY270" s="23" t="s">
        <v>115</v>
      </c>
      <c r="AZ270" s="58" t="s">
        <v>118</v>
      </c>
      <c r="BA270" s="23" t="s">
        <v>115</v>
      </c>
      <c r="BB270" s="75"/>
      <c r="BC270" s="23" t="s">
        <v>115</v>
      </c>
      <c r="BD270" s="26">
        <v>4700</v>
      </c>
      <c r="BE270" s="23" t="s">
        <v>115</v>
      </c>
      <c r="BF270" s="61">
        <v>2050</v>
      </c>
      <c r="BG270" s="23" t="s">
        <v>115</v>
      </c>
      <c r="BH270" s="26">
        <v>1500</v>
      </c>
      <c r="BI270" s="25" t="s">
        <v>116</v>
      </c>
      <c r="BJ270" s="74"/>
      <c r="BK270" s="25" t="s">
        <v>117</v>
      </c>
      <c r="BL270" s="74"/>
      <c r="BM270" s="25" t="s">
        <v>117</v>
      </c>
      <c r="BN270" s="74"/>
      <c r="BO270" s="25" t="s">
        <v>117</v>
      </c>
      <c r="BP270" s="74"/>
      <c r="BQ270" s="25" t="s">
        <v>117</v>
      </c>
      <c r="BR270" s="74"/>
      <c r="BS270" s="25" t="s">
        <v>117</v>
      </c>
      <c r="BT270" s="74"/>
      <c r="BU270" s="25" t="s">
        <v>117</v>
      </c>
      <c r="BV270" s="74"/>
      <c r="BW270" s="25" t="s">
        <v>117</v>
      </c>
      <c r="BX270" s="74"/>
      <c r="BY270" s="25" t="s">
        <v>117</v>
      </c>
      <c r="BZ270" s="74"/>
      <c r="CA270" s="25" t="s">
        <v>117</v>
      </c>
      <c r="CB270" s="74"/>
      <c r="CC270" s="25" t="s">
        <v>117</v>
      </c>
      <c r="CD270" s="74"/>
      <c r="CE270" s="25" t="s">
        <v>117</v>
      </c>
      <c r="CF270" s="74"/>
      <c r="CG270" s="25" t="s">
        <v>117</v>
      </c>
      <c r="CH270" s="74"/>
      <c r="CI270" s="25"/>
      <c r="CJ270" s="74"/>
      <c r="CK270" s="62" t="s">
        <v>117</v>
      </c>
      <c r="CL270" s="74"/>
      <c r="CM270" s="62" t="s">
        <v>117</v>
      </c>
      <c r="CN270" s="74"/>
      <c r="CO270" s="25" t="s">
        <v>117</v>
      </c>
      <c r="CP270" s="30">
        <v>400</v>
      </c>
      <c r="CQ270" s="23" t="s">
        <v>115</v>
      </c>
      <c r="CR270" s="32"/>
      <c r="CS270" s="23" t="s">
        <v>117</v>
      </c>
      <c r="CT270" s="32"/>
      <c r="CU270" s="23" t="s">
        <v>117</v>
      </c>
      <c r="CV270" s="32"/>
      <c r="CW270" s="23" t="s">
        <v>117</v>
      </c>
      <c r="CX270" s="32"/>
      <c r="CY270" s="25" t="s">
        <v>117</v>
      </c>
      <c r="CZ270" s="32"/>
      <c r="DA270" s="25" t="s">
        <v>117</v>
      </c>
      <c r="DB270" s="33" t="s">
        <v>2240</v>
      </c>
      <c r="DC270" s="25" t="s">
        <v>116</v>
      </c>
      <c r="DD270" s="34">
        <f>ROUND(0.075*SUM(AD270,AF270,AH270,AJ270,AL270,AN270,AP270,AR270,AT270,AV270,AX270,AZ270,BB270,BR270,BT270,BV270,BX270,BZ270,CB270,CD270,CF270,CJ270,CL270,CN270,CP270,CR270,CT270,CV270,CX270,CZ270),0)</f>
        <v>1433</v>
      </c>
      <c r="DE270" t="s">
        <v>2247</v>
      </c>
      <c r="DF270" t="str">
        <f>A270&amp;"#"&amp;C270&amp;"#"&amp;D270</f>
        <v>Switzerland#Company#Switzerland AG</v>
      </c>
      <c r="DG270" t="b">
        <f>DE270=DF270</f>
        <v>1</v>
      </c>
    </row>
    <row r="271" spans="1:111" ht="15" hidden="1" customHeight="1" x14ac:dyDescent="0.35">
      <c r="A271" s="18" t="s">
        <v>2227</v>
      </c>
      <c r="B271" s="72" t="s">
        <v>1156</v>
      </c>
      <c r="C271" s="18" t="s">
        <v>88</v>
      </c>
      <c r="D271" s="19" t="s">
        <v>2248</v>
      </c>
      <c r="E271" s="18" t="s">
        <v>2229</v>
      </c>
      <c r="F271" s="20" t="s">
        <v>1158</v>
      </c>
      <c r="G271" s="20" t="s">
        <v>2249</v>
      </c>
      <c r="H271" s="20" t="s">
        <v>1160</v>
      </c>
      <c r="I271" s="20" t="s">
        <v>1161</v>
      </c>
      <c r="J271" s="20" t="s">
        <v>2232</v>
      </c>
      <c r="K271" s="20" t="s">
        <v>96</v>
      </c>
      <c r="L271" s="20" t="s">
        <v>97</v>
      </c>
      <c r="M271" s="20" t="s">
        <v>98</v>
      </c>
      <c r="N271" s="20" t="s">
        <v>2233</v>
      </c>
      <c r="O271" s="20" t="s">
        <v>100</v>
      </c>
      <c r="P271" s="20" t="s">
        <v>101</v>
      </c>
      <c r="Q271" s="20" t="s">
        <v>102</v>
      </c>
      <c r="R271" s="20" t="s">
        <v>103</v>
      </c>
      <c r="S271" s="20" t="s">
        <v>104</v>
      </c>
      <c r="T271" s="20" t="s">
        <v>105</v>
      </c>
      <c r="U271" s="20" t="s">
        <v>106</v>
      </c>
      <c r="V271" s="21" t="s">
        <v>243</v>
      </c>
      <c r="W271" s="21" t="s">
        <v>203</v>
      </c>
      <c r="X271" s="21" t="s">
        <v>109</v>
      </c>
      <c r="Y271" s="21" t="s">
        <v>2250</v>
      </c>
      <c r="Z271" s="21" t="s">
        <v>256</v>
      </c>
      <c r="AA271" s="21" t="s">
        <v>112</v>
      </c>
      <c r="AB271" s="21" t="s">
        <v>2251</v>
      </c>
      <c r="AC271" s="21" t="s">
        <v>2252</v>
      </c>
      <c r="AD271" s="26">
        <v>1000</v>
      </c>
      <c r="AE271" s="23" t="s">
        <v>115</v>
      </c>
      <c r="AF271" s="24"/>
      <c r="AG271" s="23" t="s">
        <v>116</v>
      </c>
      <c r="AH271" s="24"/>
      <c r="AI271" s="25" t="s">
        <v>117</v>
      </c>
      <c r="AJ271" s="24"/>
      <c r="AK271" s="25" t="s">
        <v>117</v>
      </c>
      <c r="AL271" s="22">
        <v>0</v>
      </c>
      <c r="AM271" s="23" t="s">
        <v>115</v>
      </c>
      <c r="AN271" s="24"/>
      <c r="AO271" s="25" t="s">
        <v>117</v>
      </c>
      <c r="AP271" s="22">
        <v>7500</v>
      </c>
      <c r="AQ271" s="23" t="s">
        <v>115</v>
      </c>
      <c r="AR271" s="143"/>
      <c r="AS271" s="23" t="s">
        <v>117</v>
      </c>
      <c r="AT271" s="22">
        <v>7500</v>
      </c>
      <c r="AU271" s="23" t="s">
        <v>116</v>
      </c>
      <c r="AV271" s="26">
        <v>2700</v>
      </c>
      <c r="AW271" s="23" t="s">
        <v>115</v>
      </c>
      <c r="AX271" s="27" t="s">
        <v>118</v>
      </c>
      <c r="AY271" s="23" t="s">
        <v>115</v>
      </c>
      <c r="AZ271" s="27" t="s">
        <v>118</v>
      </c>
      <c r="BA271" s="23" t="s">
        <v>115</v>
      </c>
      <c r="BB271" s="28"/>
      <c r="BC271" s="23" t="s">
        <v>115</v>
      </c>
      <c r="BD271" s="26">
        <v>4700</v>
      </c>
      <c r="BE271" s="23" t="s">
        <v>115</v>
      </c>
      <c r="BF271" s="22">
        <v>2050</v>
      </c>
      <c r="BG271" s="23" t="s">
        <v>115</v>
      </c>
      <c r="BH271" s="26">
        <v>1500</v>
      </c>
      <c r="BI271" s="25" t="s">
        <v>116</v>
      </c>
      <c r="BJ271" s="24"/>
      <c r="BK271" s="25" t="s">
        <v>117</v>
      </c>
      <c r="BL271" s="24"/>
      <c r="BM271" s="25" t="s">
        <v>117</v>
      </c>
      <c r="BN271" s="24"/>
      <c r="BO271" s="25" t="s">
        <v>117</v>
      </c>
      <c r="BP271" s="24"/>
      <c r="BQ271" s="25" t="s">
        <v>117</v>
      </c>
      <c r="BR271" s="24"/>
      <c r="BS271" s="25" t="s">
        <v>117</v>
      </c>
      <c r="BT271" s="24"/>
      <c r="BU271" s="25" t="s">
        <v>117</v>
      </c>
      <c r="BV271" s="24"/>
      <c r="BW271" s="25" t="s">
        <v>117</v>
      </c>
      <c r="BX271" s="24"/>
      <c r="BY271" s="25" t="s">
        <v>117</v>
      </c>
      <c r="BZ271" s="24"/>
      <c r="CA271" s="25" t="s">
        <v>117</v>
      </c>
      <c r="CB271" s="24"/>
      <c r="CC271" s="25" t="s">
        <v>117</v>
      </c>
      <c r="CD271" s="24"/>
      <c r="CE271" s="25" t="s">
        <v>117</v>
      </c>
      <c r="CF271" s="24"/>
      <c r="CG271" s="25" t="s">
        <v>117</v>
      </c>
      <c r="CH271" s="24"/>
      <c r="CI271" s="25"/>
      <c r="CJ271" s="24"/>
      <c r="CK271" s="29" t="s">
        <v>117</v>
      </c>
      <c r="CL271" s="24"/>
      <c r="CM271" s="29" t="s">
        <v>117</v>
      </c>
      <c r="CN271" s="24"/>
      <c r="CO271" s="25" t="s">
        <v>117</v>
      </c>
      <c r="CP271" s="30">
        <v>400</v>
      </c>
      <c r="CQ271" s="23" t="s">
        <v>115</v>
      </c>
      <c r="CR271" s="32"/>
      <c r="CS271" s="23" t="s">
        <v>117</v>
      </c>
      <c r="CT271" s="32"/>
      <c r="CU271" s="23" t="s">
        <v>117</v>
      </c>
      <c r="CV271" s="32"/>
      <c r="CW271" s="23" t="s">
        <v>117</v>
      </c>
      <c r="CX271" s="32"/>
      <c r="CY271" s="25" t="s">
        <v>117</v>
      </c>
      <c r="CZ271" s="32"/>
      <c r="DA271" s="25" t="s">
        <v>117</v>
      </c>
      <c r="DB271" s="33" t="s">
        <v>2240</v>
      </c>
      <c r="DC271" s="25" t="s">
        <v>116</v>
      </c>
      <c r="DD271" s="34">
        <f>ROUND(0.075*SUM(AD271,AF271,AH271,AJ271,AL271,AN271,AP271,AR271,AT271,AV271,AX271,AZ271,BB271,BR271,BT271,BV271,BX271,BZ271,CB271,CD271,CF271,CJ271,CL271,CN271,CP271,CR271,CT271,CV271,CX271,CZ271),0)</f>
        <v>1433</v>
      </c>
      <c r="DE271" t="s">
        <v>2253</v>
      </c>
      <c r="DF271" t="str">
        <f>A271&amp;"#"&amp;C271&amp;"#"&amp;D271</f>
        <v>Switzerland#Company#Switzerland GmbH</v>
      </c>
      <c r="DG271" t="b">
        <f>DE271=DF271</f>
        <v>1</v>
      </c>
    </row>
    <row r="272" spans="1:111" ht="23.25" hidden="1" customHeight="1" x14ac:dyDescent="0.35">
      <c r="A272" s="72" t="s">
        <v>2227</v>
      </c>
      <c r="B272" s="72" t="s">
        <v>1156</v>
      </c>
      <c r="C272" s="72" t="s">
        <v>122</v>
      </c>
      <c r="D272" s="145" t="s">
        <v>2254</v>
      </c>
      <c r="E272" s="72" t="s">
        <v>2229</v>
      </c>
      <c r="F272" s="20" t="s">
        <v>407</v>
      </c>
      <c r="G272" s="20" t="s">
        <v>2255</v>
      </c>
      <c r="H272" s="20" t="s">
        <v>126</v>
      </c>
      <c r="I272" s="20" t="s">
        <v>127</v>
      </c>
      <c r="J272" s="20" t="s">
        <v>2232</v>
      </c>
      <c r="K272" s="20" t="s">
        <v>96</v>
      </c>
      <c r="L272" s="20" t="s">
        <v>97</v>
      </c>
      <c r="M272" s="20" t="s">
        <v>98</v>
      </c>
      <c r="N272" s="20" t="s">
        <v>128</v>
      </c>
      <c r="O272" s="20" t="s">
        <v>129</v>
      </c>
      <c r="P272" s="20" t="s">
        <v>130</v>
      </c>
      <c r="Q272" s="20" t="s">
        <v>131</v>
      </c>
      <c r="R272" s="20" t="s">
        <v>132</v>
      </c>
      <c r="S272" s="20" t="s">
        <v>133</v>
      </c>
      <c r="T272" s="20" t="s">
        <v>134</v>
      </c>
      <c r="U272" s="20" t="s">
        <v>135</v>
      </c>
      <c r="V272" s="21" t="s">
        <v>122</v>
      </c>
      <c r="W272" s="21" t="s">
        <v>2256</v>
      </c>
      <c r="X272" s="21" t="s">
        <v>109</v>
      </c>
      <c r="Y272" s="21" t="s">
        <v>2257</v>
      </c>
      <c r="Z272" s="21" t="s">
        <v>111</v>
      </c>
      <c r="AA272" s="21"/>
      <c r="AB272" s="21" t="s">
        <v>2258</v>
      </c>
      <c r="AC272" s="21" t="s">
        <v>2259</v>
      </c>
      <c r="AD272" s="26">
        <v>9380</v>
      </c>
      <c r="AE272" s="23" t="s">
        <v>115</v>
      </c>
      <c r="AF272" s="74"/>
      <c r="AG272" s="23" t="s">
        <v>116</v>
      </c>
      <c r="AH272" s="74"/>
      <c r="AI272" s="25" t="s">
        <v>117</v>
      </c>
      <c r="AJ272" s="74"/>
      <c r="AK272" s="25" t="s">
        <v>117</v>
      </c>
      <c r="AL272" s="22">
        <v>0</v>
      </c>
      <c r="AM272" s="23" t="s">
        <v>115</v>
      </c>
      <c r="AN272" s="26">
        <v>1500</v>
      </c>
      <c r="AO272" s="25" t="s">
        <v>116</v>
      </c>
      <c r="AQ272" s="23" t="s">
        <v>117</v>
      </c>
      <c r="AR272" s="61">
        <v>12860</v>
      </c>
      <c r="AS272" s="23" t="s">
        <v>115</v>
      </c>
      <c r="AT272" s="34">
        <v>12860</v>
      </c>
      <c r="AU272" s="23" t="s">
        <v>116</v>
      </c>
      <c r="AV272" s="58" t="s">
        <v>118</v>
      </c>
      <c r="AW272" s="23" t="s">
        <v>115</v>
      </c>
      <c r="AX272" s="58" t="s">
        <v>118</v>
      </c>
      <c r="AY272" s="23" t="s">
        <v>115</v>
      </c>
      <c r="AZ272" s="58" t="s">
        <v>118</v>
      </c>
      <c r="BA272" s="23" t="s">
        <v>115</v>
      </c>
      <c r="BB272" s="75"/>
      <c r="BC272" s="23" t="s">
        <v>115</v>
      </c>
      <c r="BD272" s="61">
        <v>1500</v>
      </c>
      <c r="BE272" s="23" t="s">
        <v>115</v>
      </c>
      <c r="BF272" s="58" t="s">
        <v>118</v>
      </c>
      <c r="BG272" s="23" t="s">
        <v>115</v>
      </c>
      <c r="BH272" s="26">
        <v>550</v>
      </c>
      <c r="BI272" s="25" t="s">
        <v>116</v>
      </c>
      <c r="BJ272" s="75"/>
      <c r="BK272" s="25" t="s">
        <v>117</v>
      </c>
      <c r="BL272" s="75"/>
      <c r="BM272" s="25" t="s">
        <v>117</v>
      </c>
      <c r="BN272" s="75"/>
      <c r="BO272" s="25" t="s">
        <v>117</v>
      </c>
      <c r="BP272" s="75"/>
      <c r="BQ272" s="25" t="s">
        <v>117</v>
      </c>
      <c r="BR272" s="75"/>
      <c r="BS272" s="25" t="s">
        <v>117</v>
      </c>
      <c r="BT272" s="75"/>
      <c r="BU272" s="25" t="s">
        <v>117</v>
      </c>
      <c r="BV272" s="75"/>
      <c r="BW272" s="25" t="s">
        <v>117</v>
      </c>
      <c r="BX272" s="75"/>
      <c r="BY272" s="25" t="s">
        <v>117</v>
      </c>
      <c r="BZ272" s="75"/>
      <c r="CA272" s="25" t="s">
        <v>117</v>
      </c>
      <c r="CB272" s="75"/>
      <c r="CC272" s="25" t="s">
        <v>117</v>
      </c>
      <c r="CD272" s="75"/>
      <c r="CE272" s="25" t="s">
        <v>117</v>
      </c>
      <c r="CF272" s="75"/>
      <c r="CG272" s="25" t="s">
        <v>117</v>
      </c>
      <c r="CH272" s="75"/>
      <c r="CI272" s="25"/>
      <c r="CJ272" s="75"/>
      <c r="CK272" s="62" t="s">
        <v>117</v>
      </c>
      <c r="CL272" s="75"/>
      <c r="CM272" s="62" t="s">
        <v>117</v>
      </c>
      <c r="CN272" s="75"/>
      <c r="CO272" s="25" t="s">
        <v>117</v>
      </c>
      <c r="CP272" s="30">
        <v>400</v>
      </c>
      <c r="CQ272" s="23" t="s">
        <v>115</v>
      </c>
      <c r="CR272" s="32"/>
      <c r="CS272" s="23" t="s">
        <v>117</v>
      </c>
      <c r="CT272" s="32"/>
      <c r="CU272" s="23" t="s">
        <v>117</v>
      </c>
      <c r="CV272" s="32"/>
      <c r="CW272" s="23" t="s">
        <v>117</v>
      </c>
      <c r="CX272" s="32"/>
      <c r="CY272" s="25" t="s">
        <v>117</v>
      </c>
      <c r="CZ272" s="32"/>
      <c r="DA272" s="25" t="s">
        <v>117</v>
      </c>
      <c r="DB272" s="33" t="s">
        <v>2240</v>
      </c>
      <c r="DC272" s="25" t="s">
        <v>116</v>
      </c>
      <c r="DD272" s="34">
        <f>ROUND(0.075*SUM(AD272,AF272,AH272,AJ272,AL272,AN272,AP272,AR272,AT272,AV272,AX272,AZ272,BB272,BR272,BT272,BV272,BX272,BZ272,CB272,CD272,CF272,CJ272,CL272,CN272,CP272,CR272,CT272,CV272,CX272,CZ272),0)</f>
        <v>2775</v>
      </c>
      <c r="DE272" t="s">
        <v>2260</v>
      </c>
      <c r="DF272" t="str">
        <f>A272&amp;"#"&amp;C272&amp;"#"&amp;D272</f>
        <v>Switzerland#Trust#Switzerland UK Trust with Swiss Trustee</v>
      </c>
      <c r="DG272" t="b">
        <f>DE272=DF272</f>
        <v>1</v>
      </c>
    </row>
    <row r="273" spans="1:111" ht="15" hidden="1" customHeight="1" x14ac:dyDescent="0.35">
      <c r="A273" s="18" t="s">
        <v>2227</v>
      </c>
      <c r="B273" s="18"/>
      <c r="C273" s="18" t="s">
        <v>122</v>
      </c>
      <c r="D273" s="19" t="s">
        <v>2261</v>
      </c>
      <c r="E273" s="18" t="s">
        <v>2262</v>
      </c>
      <c r="F273" s="20" t="s">
        <v>2263</v>
      </c>
      <c r="G273" s="20" t="s">
        <v>2264</v>
      </c>
      <c r="H273" s="20" t="s">
        <v>544</v>
      </c>
      <c r="I273" s="20" t="s">
        <v>2265</v>
      </c>
      <c r="J273" s="20" t="s">
        <v>2232</v>
      </c>
      <c r="K273" s="20" t="s">
        <v>96</v>
      </c>
      <c r="L273" s="20" t="s">
        <v>97</v>
      </c>
      <c r="M273" s="20" t="s">
        <v>98</v>
      </c>
      <c r="N273" s="20" t="s">
        <v>2266</v>
      </c>
      <c r="O273" s="20" t="s">
        <v>2267</v>
      </c>
      <c r="P273" s="20" t="s">
        <v>2268</v>
      </c>
      <c r="Q273" s="20" t="s">
        <v>2269</v>
      </c>
      <c r="R273" s="20" t="s">
        <v>2270</v>
      </c>
      <c r="S273" s="20" t="s">
        <v>2271</v>
      </c>
      <c r="T273" s="20" t="s">
        <v>2272</v>
      </c>
      <c r="U273" s="20" t="s">
        <v>2273</v>
      </c>
      <c r="V273" s="21" t="s">
        <v>122</v>
      </c>
      <c r="W273" s="21" t="s">
        <v>2274</v>
      </c>
      <c r="X273" s="21" t="s">
        <v>2275</v>
      </c>
      <c r="Y273" s="21" t="s">
        <v>2276</v>
      </c>
      <c r="Z273" s="21" t="s">
        <v>111</v>
      </c>
      <c r="AA273" s="21" t="s">
        <v>2277</v>
      </c>
      <c r="AB273" s="21" t="s">
        <v>2278</v>
      </c>
      <c r="AC273" s="21" t="s">
        <v>2279</v>
      </c>
      <c r="AD273" s="22">
        <v>11690</v>
      </c>
      <c r="AE273" s="23" t="s">
        <v>116</v>
      </c>
      <c r="AF273" s="24"/>
      <c r="AG273" s="23" t="s">
        <v>117</v>
      </c>
      <c r="AH273" s="24"/>
      <c r="AI273" s="25" t="s">
        <v>117</v>
      </c>
      <c r="AJ273" s="24"/>
      <c r="AK273" s="25" t="s">
        <v>117</v>
      </c>
      <c r="AL273" s="22"/>
      <c r="AM273" s="23" t="s">
        <v>117</v>
      </c>
      <c r="AN273" s="24"/>
      <c r="AO273" s="25" t="s">
        <v>117</v>
      </c>
      <c r="AP273" s="26"/>
      <c r="AQ273" s="23" t="s">
        <v>117</v>
      </c>
      <c r="AR273" s="24">
        <v>12180</v>
      </c>
      <c r="AS273" s="23" t="s">
        <v>116</v>
      </c>
      <c r="AT273" s="27"/>
      <c r="AU273" s="23" t="s">
        <v>117</v>
      </c>
      <c r="AV273" s="22"/>
      <c r="AW273" s="23" t="s">
        <v>117</v>
      </c>
      <c r="AX273" s="22"/>
      <c r="AY273" s="23" t="s">
        <v>117</v>
      </c>
      <c r="AZ273" s="26"/>
      <c r="BA273" s="23" t="s">
        <v>117</v>
      </c>
      <c r="BB273" s="24"/>
      <c r="BC273" s="23" t="s">
        <v>117</v>
      </c>
      <c r="BD273" s="27">
        <v>2000</v>
      </c>
      <c r="BE273" s="23" t="s">
        <v>116</v>
      </c>
      <c r="BF273" s="27"/>
      <c r="BG273" s="23" t="s">
        <v>117</v>
      </c>
      <c r="BH273" s="28">
        <v>550</v>
      </c>
      <c r="BI273" s="25" t="s">
        <v>116</v>
      </c>
      <c r="BJ273" s="28"/>
      <c r="BK273" s="25" t="s">
        <v>117</v>
      </c>
      <c r="BL273" s="28"/>
      <c r="BM273" s="25" t="s">
        <v>117</v>
      </c>
      <c r="BN273" s="28"/>
      <c r="BO273" s="25" t="s">
        <v>117</v>
      </c>
      <c r="BP273" s="28"/>
      <c r="BQ273" s="25" t="s">
        <v>117</v>
      </c>
      <c r="BR273" s="28"/>
      <c r="BS273" s="25" t="s">
        <v>117</v>
      </c>
      <c r="BT273" s="28"/>
      <c r="BU273" s="25" t="s">
        <v>117</v>
      </c>
      <c r="BV273" s="28"/>
      <c r="BW273" s="25" t="s">
        <v>117</v>
      </c>
      <c r="BX273" s="28"/>
      <c r="BY273" s="25" t="s">
        <v>117</v>
      </c>
      <c r="BZ273" s="28"/>
      <c r="CA273" s="25" t="s">
        <v>117</v>
      </c>
      <c r="CB273" s="28"/>
      <c r="CC273" s="25" t="s">
        <v>117</v>
      </c>
      <c r="CD273" s="28"/>
      <c r="CE273" s="25" t="s">
        <v>117</v>
      </c>
      <c r="CF273" s="28"/>
      <c r="CG273" s="25" t="s">
        <v>117</v>
      </c>
      <c r="CH273" s="28"/>
      <c r="CI273" s="25"/>
      <c r="CJ273" s="28"/>
      <c r="CK273" s="29" t="s">
        <v>117</v>
      </c>
      <c r="CL273" s="28"/>
      <c r="CM273" s="29" t="s">
        <v>117</v>
      </c>
      <c r="CN273" s="28"/>
      <c r="CO273" s="25" t="s">
        <v>117</v>
      </c>
      <c r="CP273" s="30"/>
      <c r="CQ273" s="23" t="s">
        <v>117</v>
      </c>
      <c r="CR273" s="30"/>
      <c r="CS273" s="23" t="s">
        <v>117</v>
      </c>
      <c r="CT273" s="30"/>
      <c r="CU273" s="23" t="s">
        <v>117</v>
      </c>
      <c r="CV273" s="31"/>
      <c r="CW273" s="23" t="s">
        <v>117</v>
      </c>
      <c r="CX273" s="32"/>
      <c r="CY273" s="25" t="s">
        <v>117</v>
      </c>
      <c r="CZ273" s="32"/>
      <c r="DA273" s="25" t="s">
        <v>117</v>
      </c>
      <c r="DB273" s="33"/>
      <c r="DC273" s="25" t="s">
        <v>117</v>
      </c>
      <c r="DD273" s="34">
        <f>ROUND(0.075*SUM(AD273,AF273,AH273,AJ273,AL273,AN273,AP273,AR273,AT273,AV273,AX273,AZ273,BB273,BR273,BT273,BV273,BX273,BZ273,CB273,CD273,CF273,CJ273,CL273,CN273,CP273,CR273,CT273,CV273,CX273,CZ273),0)</f>
        <v>1790</v>
      </c>
      <c r="DE273" t="s">
        <v>2280</v>
      </c>
      <c r="DF273" t="str">
        <f>A273&amp;"#"&amp;C273&amp;"#"&amp;D273</f>
        <v>Switzerland#Trust#Switzerland Trust with Swiss Trustee (Split Trust)</v>
      </c>
      <c r="DG273" t="b">
        <f>DE273=DF273</f>
        <v>1</v>
      </c>
    </row>
    <row r="274" spans="1:111" ht="79.5" hidden="1" customHeight="1" x14ac:dyDescent="0.35">
      <c r="A274" s="185" t="s">
        <v>2281</v>
      </c>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c r="AA274" s="185"/>
      <c r="AB274" s="185"/>
      <c r="AC274" s="185"/>
      <c r="AD274" s="185"/>
      <c r="AE274" s="185"/>
      <c r="AF274" s="185"/>
      <c r="AG274" s="185"/>
      <c r="AH274" s="185"/>
      <c r="AI274" s="185"/>
      <c r="AJ274" s="185"/>
      <c r="AK274" s="185"/>
      <c r="AL274" s="185"/>
      <c r="AM274" s="185"/>
      <c r="AN274" s="185"/>
      <c r="AO274" s="185"/>
      <c r="AP274" s="185"/>
      <c r="AQ274" s="185"/>
      <c r="AR274" s="185"/>
      <c r="AS274" s="185"/>
      <c r="AT274" s="185"/>
      <c r="AU274" s="185"/>
      <c r="AV274" s="185"/>
      <c r="AW274" s="185"/>
      <c r="AX274" s="185"/>
      <c r="AY274" s="185"/>
      <c r="AZ274" s="185"/>
      <c r="BA274" s="185"/>
      <c r="BB274" s="185"/>
      <c r="BC274" s="185"/>
      <c r="BD274" s="185"/>
      <c r="BE274" s="185"/>
      <c r="BF274" s="185"/>
      <c r="BG274" s="185"/>
      <c r="BH274" s="185"/>
      <c r="BI274" s="185"/>
      <c r="BJ274" s="185"/>
      <c r="BK274" s="185"/>
      <c r="BL274" s="185"/>
      <c r="BM274" s="185"/>
      <c r="BN274" s="185"/>
      <c r="BO274" s="185"/>
      <c r="BP274" s="185"/>
      <c r="BQ274" s="185"/>
      <c r="BR274" s="185"/>
      <c r="BS274" s="185"/>
      <c r="BT274" s="185"/>
      <c r="BU274" s="185"/>
      <c r="BV274" s="185"/>
      <c r="BW274" s="185"/>
      <c r="BX274" s="185"/>
      <c r="BY274" s="185"/>
      <c r="BZ274" s="185"/>
      <c r="CA274" s="185"/>
      <c r="CB274" s="185"/>
      <c r="CC274" s="185"/>
      <c r="CD274" s="185"/>
      <c r="CE274" s="185"/>
      <c r="CF274" s="185"/>
      <c r="CG274" s="185"/>
      <c r="CH274" s="185"/>
      <c r="CI274" s="185"/>
      <c r="CJ274" s="185"/>
      <c r="CK274" s="185"/>
      <c r="CL274" s="185"/>
      <c r="CM274" s="185"/>
      <c r="CN274" s="185"/>
      <c r="CO274" s="185"/>
      <c r="CP274" s="185"/>
      <c r="CQ274" s="185"/>
      <c r="CR274" s="185"/>
      <c r="CS274" s="185"/>
      <c r="CT274" s="185"/>
      <c r="CU274" s="185"/>
      <c r="CV274" s="185"/>
      <c r="CW274" s="185"/>
      <c r="CX274" s="185"/>
      <c r="CY274" s="185"/>
      <c r="CZ274" s="185"/>
      <c r="DA274" s="185"/>
      <c r="DB274" s="185"/>
      <c r="DC274" s="185"/>
      <c r="DE274" t="s">
        <v>85</v>
      </c>
      <c r="DF274" t="str">
        <f>A255&amp;"#"&amp;C255&amp;"#"&amp;D255</f>
        <v>South Dakota#Company#South Dakota LLC multi-member Non-US Manager</v>
      </c>
    </row>
    <row r="275" spans="1:111" ht="15" hidden="1" customHeight="1" x14ac:dyDescent="0.35">
      <c r="A275" s="72" t="s">
        <v>2282</v>
      </c>
      <c r="B275" s="42" t="s">
        <v>1379</v>
      </c>
      <c r="C275" s="72" t="s">
        <v>88</v>
      </c>
      <c r="D275" s="73" t="s">
        <v>2283</v>
      </c>
      <c r="E275" s="72" t="s">
        <v>2012</v>
      </c>
      <c r="F275" s="20" t="s">
        <v>143</v>
      </c>
      <c r="G275" s="20" t="s">
        <v>2284</v>
      </c>
      <c r="H275" s="20" t="s">
        <v>93</v>
      </c>
      <c r="I275" s="20" t="s">
        <v>94</v>
      </c>
      <c r="J275" s="20" t="s">
        <v>2285</v>
      </c>
      <c r="K275" s="20" t="s">
        <v>96</v>
      </c>
      <c r="L275" s="20" t="s">
        <v>97</v>
      </c>
      <c r="M275" s="20" t="s">
        <v>98</v>
      </c>
      <c r="N275" s="20" t="s">
        <v>2286</v>
      </c>
      <c r="O275" s="20" t="s">
        <v>100</v>
      </c>
      <c r="P275" s="20" t="s">
        <v>101</v>
      </c>
      <c r="Q275" s="20" t="s">
        <v>102</v>
      </c>
      <c r="R275" s="20" t="s">
        <v>103</v>
      </c>
      <c r="S275" s="20" t="s">
        <v>2287</v>
      </c>
      <c r="T275" s="20" t="s">
        <v>105</v>
      </c>
      <c r="U275" s="20" t="s">
        <v>2288</v>
      </c>
      <c r="V275" s="21" t="s">
        <v>243</v>
      </c>
      <c r="W275" s="21" t="s">
        <v>108</v>
      </c>
      <c r="X275" s="21" t="s">
        <v>109</v>
      </c>
      <c r="Y275" s="21" t="s">
        <v>2289</v>
      </c>
      <c r="Z275" s="21" t="s">
        <v>256</v>
      </c>
      <c r="AA275" s="21" t="s">
        <v>112</v>
      </c>
      <c r="AB275" s="21" t="s">
        <v>2290</v>
      </c>
      <c r="AC275" s="21" t="s">
        <v>2291</v>
      </c>
      <c r="AD275" s="61">
        <v>1400</v>
      </c>
      <c r="AE275" s="23" t="s">
        <v>115</v>
      </c>
      <c r="AF275" s="74"/>
      <c r="AG275" s="23" t="s">
        <v>116</v>
      </c>
      <c r="AH275" s="74"/>
      <c r="AI275" s="25" t="s">
        <v>117</v>
      </c>
      <c r="AJ275" s="26">
        <v>500</v>
      </c>
      <c r="AK275" s="25" t="s">
        <v>116</v>
      </c>
      <c r="AL275" s="22">
        <v>0</v>
      </c>
      <c r="AM275" s="23" t="s">
        <v>115</v>
      </c>
      <c r="AN275" s="26">
        <v>2500</v>
      </c>
      <c r="AO275" s="25" t="s">
        <v>116</v>
      </c>
      <c r="AP275" s="61">
        <v>2500</v>
      </c>
      <c r="AQ275" s="23" t="s">
        <v>115</v>
      </c>
      <c r="AR275" s="74"/>
      <c r="AS275" s="23" t="s">
        <v>117</v>
      </c>
      <c r="AT275" s="61">
        <v>5000</v>
      </c>
      <c r="AU275" s="23" t="s">
        <v>116</v>
      </c>
      <c r="AV275" s="61">
        <v>850</v>
      </c>
      <c r="AW275" s="23" t="s">
        <v>115</v>
      </c>
      <c r="AX275" s="61">
        <v>850</v>
      </c>
      <c r="AY275" s="23" t="s">
        <v>115</v>
      </c>
      <c r="AZ275" s="61">
        <v>850</v>
      </c>
      <c r="BA275" s="23" t="s">
        <v>115</v>
      </c>
      <c r="BB275" s="74"/>
      <c r="BC275" s="23" t="s">
        <v>115</v>
      </c>
      <c r="BD275" s="58" t="s">
        <v>118</v>
      </c>
      <c r="BE275" s="23" t="s">
        <v>115</v>
      </c>
      <c r="BF275" s="58" t="s">
        <v>118</v>
      </c>
      <c r="BG275" s="23" t="s">
        <v>115</v>
      </c>
      <c r="BH275" s="75"/>
      <c r="BI275" s="25" t="s">
        <v>117</v>
      </c>
      <c r="BJ275" s="26">
        <v>1500</v>
      </c>
      <c r="BK275" s="25" t="s">
        <v>116</v>
      </c>
      <c r="BL275" s="75"/>
      <c r="BM275" s="25" t="s">
        <v>117</v>
      </c>
      <c r="BN275" s="75"/>
      <c r="BO275" s="25" t="s">
        <v>117</v>
      </c>
      <c r="BP275" s="75"/>
      <c r="BQ275" s="25" t="s">
        <v>117</v>
      </c>
      <c r="BR275" s="75"/>
      <c r="BS275" s="25" t="s">
        <v>117</v>
      </c>
      <c r="BT275" s="75"/>
      <c r="BU275" s="25" t="s">
        <v>117</v>
      </c>
      <c r="BV275" s="75"/>
      <c r="BW275" s="25" t="s">
        <v>117</v>
      </c>
      <c r="BX275" s="75"/>
      <c r="BY275" s="25" t="s">
        <v>117</v>
      </c>
      <c r="BZ275" s="75"/>
      <c r="CA275" s="25" t="s">
        <v>117</v>
      </c>
      <c r="CB275" s="75"/>
      <c r="CC275" s="25" t="s">
        <v>117</v>
      </c>
      <c r="CD275" s="75"/>
      <c r="CE275" s="25" t="s">
        <v>117</v>
      </c>
      <c r="CF275" s="75"/>
      <c r="CG275" s="25" t="s">
        <v>117</v>
      </c>
      <c r="CH275" s="75"/>
      <c r="CI275" s="25"/>
      <c r="CJ275" s="75"/>
      <c r="CK275" s="62" t="s">
        <v>117</v>
      </c>
      <c r="CL275" s="75"/>
      <c r="CM275" s="62" t="s">
        <v>117</v>
      </c>
      <c r="CN275" s="75"/>
      <c r="CO275" s="25" t="s">
        <v>117</v>
      </c>
      <c r="CP275" s="30">
        <v>400</v>
      </c>
      <c r="CQ275" s="23" t="s">
        <v>115</v>
      </c>
      <c r="CR275" s="32"/>
      <c r="CS275" s="23" t="s">
        <v>117</v>
      </c>
      <c r="CT275" s="32"/>
      <c r="CU275" s="23" t="s">
        <v>117</v>
      </c>
      <c r="CV275" s="32"/>
      <c r="CW275" s="23" t="s">
        <v>117</v>
      </c>
      <c r="CX275" s="32"/>
      <c r="CY275" s="25" t="s">
        <v>117</v>
      </c>
      <c r="CZ275" s="32"/>
      <c r="DA275" s="25" t="s">
        <v>117</v>
      </c>
      <c r="DB275" s="33" t="s">
        <v>2292</v>
      </c>
      <c r="DC275" s="25" t="s">
        <v>116</v>
      </c>
      <c r="DD275" s="34">
        <f>ROUND(0.075*SUM(AD275,AF275,AH275,AJ275,AL275,AN275,AP275,AR275,AT275,AV275,AX275,AZ275,BB275,BR275,BT275,BV275,BX275,BZ275,CB275,CD275,CF275,CJ275,CL275,CN275,CP275,CR275,CT275,CV275,CX275,CZ275),0)</f>
        <v>1114</v>
      </c>
      <c r="DE275" t="s">
        <v>2293</v>
      </c>
      <c r="DF275" t="str">
        <f>A275&amp;"#"&amp;C275&amp;"#"&amp;D275</f>
        <v>United Kingdom#Company#United Kingdom Ltd</v>
      </c>
      <c r="DG275" t="b">
        <f>DE275=DF275</f>
        <v>1</v>
      </c>
    </row>
    <row r="276" spans="1:111" ht="15" hidden="1" customHeight="1" x14ac:dyDescent="0.35">
      <c r="A276" s="42" t="s">
        <v>2282</v>
      </c>
      <c r="B276" s="42" t="s">
        <v>1379</v>
      </c>
      <c r="C276" s="42" t="s">
        <v>122</v>
      </c>
      <c r="D276" s="43" t="s">
        <v>2294</v>
      </c>
      <c r="E276" s="42" t="s">
        <v>90</v>
      </c>
      <c r="F276" s="20" t="s">
        <v>407</v>
      </c>
      <c r="G276" s="20" t="s">
        <v>2295</v>
      </c>
      <c r="H276" s="20" t="s">
        <v>126</v>
      </c>
      <c r="I276" s="20" t="s">
        <v>127</v>
      </c>
      <c r="J276" s="20" t="s">
        <v>2285</v>
      </c>
      <c r="K276" s="20" t="s">
        <v>96</v>
      </c>
      <c r="L276" s="20" t="s">
        <v>97</v>
      </c>
      <c r="M276" s="20" t="s">
        <v>98</v>
      </c>
      <c r="N276" s="20" t="s">
        <v>128</v>
      </c>
      <c r="O276" s="20" t="s">
        <v>129</v>
      </c>
      <c r="P276" s="20" t="s">
        <v>130</v>
      </c>
      <c r="Q276" s="20" t="s">
        <v>131</v>
      </c>
      <c r="R276" s="20" t="s">
        <v>132</v>
      </c>
      <c r="S276" s="20" t="s">
        <v>133</v>
      </c>
      <c r="T276" s="20" t="s">
        <v>134</v>
      </c>
      <c r="U276" s="20" t="s">
        <v>135</v>
      </c>
      <c r="V276" s="21" t="s">
        <v>122</v>
      </c>
      <c r="W276" s="21" t="s">
        <v>108</v>
      </c>
      <c r="X276" s="21" t="s">
        <v>109</v>
      </c>
      <c r="Y276" s="21" t="s">
        <v>2296</v>
      </c>
      <c r="Z276" s="21" t="s">
        <v>2297</v>
      </c>
      <c r="AA276" s="21"/>
      <c r="AB276" s="21" t="s">
        <v>2298</v>
      </c>
      <c r="AC276" s="21" t="s">
        <v>2299</v>
      </c>
      <c r="AD276" s="47">
        <v>5000</v>
      </c>
      <c r="AE276" s="23" t="s">
        <v>115</v>
      </c>
      <c r="AF276" s="44"/>
      <c r="AG276" s="23" t="s">
        <v>116</v>
      </c>
      <c r="AH276" s="44"/>
      <c r="AI276" s="25" t="s">
        <v>117</v>
      </c>
      <c r="AJ276" s="44"/>
      <c r="AK276" s="25" t="s">
        <v>117</v>
      </c>
      <c r="AL276" s="22">
        <v>0</v>
      </c>
      <c r="AM276" s="23" t="s">
        <v>115</v>
      </c>
      <c r="AN276" s="44"/>
      <c r="AO276" s="25" t="s">
        <v>117</v>
      </c>
      <c r="AQ276" s="23" t="s">
        <v>117</v>
      </c>
      <c r="AR276" s="47">
        <v>4000</v>
      </c>
      <c r="AS276" s="23" t="s">
        <v>115</v>
      </c>
      <c r="AT276" s="45" t="s">
        <v>118</v>
      </c>
      <c r="AU276" s="23" t="s">
        <v>116</v>
      </c>
      <c r="AV276" s="45" t="s">
        <v>118</v>
      </c>
      <c r="AW276" s="23" t="s">
        <v>115</v>
      </c>
      <c r="AX276" s="45" t="s">
        <v>118</v>
      </c>
      <c r="AY276" s="23" t="s">
        <v>115</v>
      </c>
      <c r="AZ276" s="45" t="s">
        <v>118</v>
      </c>
      <c r="BA276" s="23" t="s">
        <v>115</v>
      </c>
      <c r="BB276" s="46"/>
      <c r="BC276" s="23" t="s">
        <v>115</v>
      </c>
      <c r="BD276" s="45" t="s">
        <v>118</v>
      </c>
      <c r="BE276" s="23" t="s">
        <v>115</v>
      </c>
      <c r="BF276" s="45" t="s">
        <v>118</v>
      </c>
      <c r="BG276" s="23" t="s">
        <v>115</v>
      </c>
      <c r="BH276" s="46"/>
      <c r="BI276" s="25" t="s">
        <v>117</v>
      </c>
      <c r="BJ276" s="46"/>
      <c r="BK276" s="25" t="s">
        <v>117</v>
      </c>
      <c r="BL276" s="46"/>
      <c r="BM276" s="25" t="s">
        <v>117</v>
      </c>
      <c r="BN276" s="46"/>
      <c r="BO276" s="25" t="s">
        <v>117</v>
      </c>
      <c r="BP276" s="46"/>
      <c r="BQ276" s="25" t="s">
        <v>117</v>
      </c>
      <c r="BR276" s="46"/>
      <c r="BS276" s="25" t="s">
        <v>117</v>
      </c>
      <c r="BT276" s="46"/>
      <c r="BU276" s="25" t="s">
        <v>117</v>
      </c>
      <c r="BV276" s="46"/>
      <c r="BW276" s="25" t="s">
        <v>117</v>
      </c>
      <c r="BX276" s="46"/>
      <c r="BY276" s="25" t="s">
        <v>117</v>
      </c>
      <c r="BZ276" s="46"/>
      <c r="CA276" s="25" t="s">
        <v>117</v>
      </c>
      <c r="CB276" s="46"/>
      <c r="CC276" s="25" t="s">
        <v>117</v>
      </c>
      <c r="CD276" s="46"/>
      <c r="CE276" s="25" t="s">
        <v>117</v>
      </c>
      <c r="CF276" s="46"/>
      <c r="CG276" s="25" t="s">
        <v>117</v>
      </c>
      <c r="CH276" s="46"/>
      <c r="CI276" s="25"/>
      <c r="CJ276" s="46"/>
      <c r="CK276" s="48" t="s">
        <v>117</v>
      </c>
      <c r="CL276" s="46"/>
      <c r="CM276" s="48" t="s">
        <v>117</v>
      </c>
      <c r="CN276" s="46"/>
      <c r="CO276" s="25" t="s">
        <v>117</v>
      </c>
      <c r="CP276" s="30">
        <v>400</v>
      </c>
      <c r="CQ276" s="23" t="s">
        <v>115</v>
      </c>
      <c r="CR276" s="32"/>
      <c r="CS276" s="23" t="s">
        <v>117</v>
      </c>
      <c r="CT276" s="32"/>
      <c r="CU276" s="23" t="s">
        <v>117</v>
      </c>
      <c r="CV276" s="32"/>
      <c r="CW276" s="23" t="s">
        <v>117</v>
      </c>
      <c r="CX276" s="32"/>
      <c r="CY276" s="25" t="s">
        <v>117</v>
      </c>
      <c r="CZ276" s="32"/>
      <c r="DA276" s="25" t="s">
        <v>117</v>
      </c>
      <c r="DB276" s="33" t="s">
        <v>2292</v>
      </c>
      <c r="DC276" s="25" t="s">
        <v>116</v>
      </c>
      <c r="DD276" s="34">
        <f>ROUND(0.075*SUM(AD276,AF276,AH276,AJ276,AL276,AN276,AP276,AR276,AT276,AV276,AX276,AZ276,BB276,BR276,BT276,BV276,BX276,BZ276,CB276,CD276,CF276,CJ276,CL276,CN276,CP276,CR276,CT276,CV276,CX276,CZ276),0)</f>
        <v>705</v>
      </c>
      <c r="DE276" t="s">
        <v>2300</v>
      </c>
      <c r="DF276" t="str">
        <f>A276&amp;"#"&amp;C276&amp;"#"&amp;D276</f>
        <v>United Kingdom#Trust#United Kingdom Trust with Swiss Trustee</v>
      </c>
      <c r="DG276" t="b">
        <f>DE276=DF276</f>
        <v>1</v>
      </c>
    </row>
    <row r="277" spans="1:111" ht="23.25" hidden="1" customHeight="1" x14ac:dyDescent="0.35">
      <c r="A277" s="72" t="s">
        <v>2282</v>
      </c>
      <c r="B277" s="42" t="s">
        <v>1379</v>
      </c>
      <c r="C277" s="72" t="s">
        <v>460</v>
      </c>
      <c r="D277" s="73" t="s">
        <v>2301</v>
      </c>
      <c r="E277" s="72" t="s">
        <v>2012</v>
      </c>
      <c r="F277" s="20" t="s">
        <v>2302</v>
      </c>
      <c r="G277" s="20" t="s">
        <v>2303</v>
      </c>
      <c r="H277" s="20" t="s">
        <v>93</v>
      </c>
      <c r="I277" s="20" t="s">
        <v>2304</v>
      </c>
      <c r="J277" s="20" t="s">
        <v>2305</v>
      </c>
      <c r="K277" s="20" t="s">
        <v>2306</v>
      </c>
      <c r="L277" s="20" t="s">
        <v>2307</v>
      </c>
      <c r="M277" s="20" t="s">
        <v>2308</v>
      </c>
      <c r="N277" s="20" t="s">
        <v>2309</v>
      </c>
      <c r="O277" s="20" t="s">
        <v>2310</v>
      </c>
      <c r="P277" s="20" t="s">
        <v>2311</v>
      </c>
      <c r="Q277" s="20" t="s">
        <v>2312</v>
      </c>
      <c r="R277" s="20" t="s">
        <v>2313</v>
      </c>
      <c r="S277" s="20" t="s">
        <v>2314</v>
      </c>
      <c r="T277" s="20" t="s">
        <v>2315</v>
      </c>
      <c r="U277" s="20" t="s">
        <v>2316</v>
      </c>
      <c r="V277" s="21" t="s">
        <v>2317</v>
      </c>
      <c r="W277" s="21" t="s">
        <v>108</v>
      </c>
      <c r="X277" s="21" t="s">
        <v>2318</v>
      </c>
      <c r="Y277" s="21" t="s">
        <v>2319</v>
      </c>
      <c r="Z277" s="21" t="s">
        <v>256</v>
      </c>
      <c r="AA277" s="21" t="s">
        <v>601</v>
      </c>
      <c r="AB277" s="21" t="s">
        <v>2320</v>
      </c>
      <c r="AC277" s="21" t="s">
        <v>2321</v>
      </c>
      <c r="AD277" s="61">
        <v>1400</v>
      </c>
      <c r="AE277" s="23" t="s">
        <v>115</v>
      </c>
      <c r="AF277" s="44"/>
      <c r="AG277" s="23" t="s">
        <v>117</v>
      </c>
      <c r="AH277" s="44"/>
      <c r="AI277" s="25" t="s">
        <v>117</v>
      </c>
      <c r="AJ277" s="44"/>
      <c r="AK277" s="25" t="s">
        <v>117</v>
      </c>
      <c r="AL277" s="24"/>
      <c r="AM277" s="23" t="s">
        <v>117</v>
      </c>
      <c r="AN277" s="26">
        <v>2500</v>
      </c>
      <c r="AO277" s="25" t="s">
        <v>116</v>
      </c>
      <c r="AP277" s="61">
        <v>2500</v>
      </c>
      <c r="AQ277" s="23" t="s">
        <v>116</v>
      </c>
      <c r="AR277" s="44"/>
      <c r="AS277" s="23" t="s">
        <v>117</v>
      </c>
      <c r="AT277" s="61">
        <v>5000</v>
      </c>
      <c r="AU277" s="23" t="s">
        <v>116</v>
      </c>
      <c r="AV277" s="61">
        <v>850</v>
      </c>
      <c r="AW277" s="23" t="s">
        <v>116</v>
      </c>
      <c r="AX277" s="61">
        <v>850</v>
      </c>
      <c r="AY277" s="23" t="s">
        <v>116</v>
      </c>
      <c r="AZ277" s="61">
        <v>850</v>
      </c>
      <c r="BA277" s="23" t="s">
        <v>115</v>
      </c>
      <c r="BB277" s="74"/>
      <c r="BC277" s="23" t="s">
        <v>117</v>
      </c>
      <c r="BD277" s="46"/>
      <c r="BE277" s="23" t="s">
        <v>117</v>
      </c>
      <c r="BF277" s="46"/>
      <c r="BG277" s="23" t="s">
        <v>117</v>
      </c>
      <c r="BH277" s="46"/>
      <c r="BI277" s="25" t="s">
        <v>117</v>
      </c>
      <c r="BJ277" s="26">
        <v>1500</v>
      </c>
      <c r="BK277" s="25" t="s">
        <v>116</v>
      </c>
      <c r="BL277" s="46"/>
      <c r="BM277" s="25" t="s">
        <v>117</v>
      </c>
      <c r="BN277" s="46"/>
      <c r="BO277" s="25" t="s">
        <v>117</v>
      </c>
      <c r="BP277" s="46"/>
      <c r="BQ277" s="25" t="s">
        <v>117</v>
      </c>
      <c r="BR277" s="46"/>
      <c r="BS277" s="25" t="s">
        <v>117</v>
      </c>
      <c r="BT277" s="46"/>
      <c r="BU277" s="25" t="s">
        <v>117</v>
      </c>
      <c r="BV277" s="46"/>
      <c r="BW277" s="25" t="s">
        <v>117</v>
      </c>
      <c r="BX277" s="46"/>
      <c r="BY277" s="25" t="s">
        <v>117</v>
      </c>
      <c r="BZ277" s="46"/>
      <c r="CA277" s="25" t="s">
        <v>117</v>
      </c>
      <c r="CB277" s="46"/>
      <c r="CC277" s="25" t="s">
        <v>117</v>
      </c>
      <c r="CD277" s="46"/>
      <c r="CE277" s="25" t="s">
        <v>117</v>
      </c>
      <c r="CF277" s="46"/>
      <c r="CG277" s="25" t="s">
        <v>117</v>
      </c>
      <c r="CH277" s="46"/>
      <c r="CI277" s="25"/>
      <c r="CJ277" s="46"/>
      <c r="CK277" s="48" t="s">
        <v>117</v>
      </c>
      <c r="CL277" s="46"/>
      <c r="CM277" s="48" t="s">
        <v>117</v>
      </c>
      <c r="CN277" s="46"/>
      <c r="CO277" s="25" t="s">
        <v>117</v>
      </c>
      <c r="CP277" s="30">
        <v>400</v>
      </c>
      <c r="CQ277" s="23" t="s">
        <v>115</v>
      </c>
      <c r="CR277" s="32"/>
      <c r="CS277" s="23" t="s">
        <v>117</v>
      </c>
      <c r="CT277" s="32"/>
      <c r="CU277" s="23" t="s">
        <v>117</v>
      </c>
      <c r="CV277" s="32"/>
      <c r="CW277" s="23" t="s">
        <v>117</v>
      </c>
      <c r="CX277" s="32"/>
      <c r="CY277" s="25" t="s">
        <v>117</v>
      </c>
      <c r="CZ277" s="32"/>
      <c r="DA277" s="25" t="s">
        <v>117</v>
      </c>
      <c r="DB277" s="33" t="s">
        <v>120</v>
      </c>
      <c r="DC277" s="25" t="s">
        <v>116</v>
      </c>
      <c r="DD277" s="34">
        <f>ROUND(0.075*SUM(AD277,AF277,AH277,AJ277,AL277,AN277,AP277,AR277,AT277,AV277,AX277,AZ277,BB277,BR277,BT277,BV277,BX277,BZ277,CB277,CD277,CF277,CJ277,CL277,CN277,CP277,CR277,CT277,CV277,CX277,CZ277),0)</f>
        <v>1076</v>
      </c>
      <c r="DE277" t="s">
        <v>2322</v>
      </c>
      <c r="DF277" t="str">
        <f>A277&amp;"#"&amp;C277&amp;"#"&amp;D277</f>
        <v>United Kingdom#Partnership#United Kingdom LLP</v>
      </c>
      <c r="DG277" t="b">
        <f>DE277=DF277</f>
        <v>1</v>
      </c>
    </row>
    <row r="278" spans="1:111" ht="15" hidden="1" customHeight="1" x14ac:dyDescent="0.35">
      <c r="A278" s="146" t="s">
        <v>2282</v>
      </c>
      <c r="B278" s="147" t="s">
        <v>1379</v>
      </c>
      <c r="C278" s="146" t="s">
        <v>122</v>
      </c>
      <c r="D278" s="148" t="s">
        <v>2323</v>
      </c>
      <c r="E278" s="146" t="s">
        <v>90</v>
      </c>
      <c r="F278" s="123" t="s">
        <v>124</v>
      </c>
      <c r="G278" s="123" t="s">
        <v>2324</v>
      </c>
      <c r="H278" s="123" t="s">
        <v>126</v>
      </c>
      <c r="I278" s="123" t="s">
        <v>127</v>
      </c>
      <c r="J278" s="123" t="s">
        <v>2285</v>
      </c>
      <c r="K278" s="123" t="s">
        <v>96</v>
      </c>
      <c r="L278" s="123" t="s">
        <v>97</v>
      </c>
      <c r="M278" s="123" t="s">
        <v>98</v>
      </c>
      <c r="N278" s="123" t="s">
        <v>128</v>
      </c>
      <c r="O278" s="123" t="s">
        <v>129</v>
      </c>
      <c r="P278" s="123" t="s">
        <v>130</v>
      </c>
      <c r="Q278" s="123" t="s">
        <v>131</v>
      </c>
      <c r="R278" s="123" t="s">
        <v>132</v>
      </c>
      <c r="S278" s="123" t="s">
        <v>133</v>
      </c>
      <c r="T278" s="123" t="s">
        <v>134</v>
      </c>
      <c r="U278" s="123" t="s">
        <v>135</v>
      </c>
      <c r="V278" s="138" t="s">
        <v>122</v>
      </c>
      <c r="W278" s="138" t="s">
        <v>108</v>
      </c>
      <c r="X278" s="138" t="s">
        <v>109</v>
      </c>
      <c r="Y278" s="138" t="s">
        <v>2325</v>
      </c>
      <c r="Z278" s="138" t="s">
        <v>2326</v>
      </c>
      <c r="AA278" s="138"/>
      <c r="AB278" s="138" t="s">
        <v>2327</v>
      </c>
      <c r="AC278" s="138" t="s">
        <v>2328</v>
      </c>
      <c r="AD278" s="61">
        <v>8430</v>
      </c>
      <c r="AE278" s="149" t="s">
        <v>115</v>
      </c>
      <c r="AF278" s="124"/>
      <c r="AG278" s="149" t="s">
        <v>116</v>
      </c>
      <c r="AH278" s="124"/>
      <c r="AI278" s="25" t="s">
        <v>117</v>
      </c>
      <c r="AJ278" s="124"/>
      <c r="AK278" s="25" t="s">
        <v>117</v>
      </c>
      <c r="AL278" s="22">
        <v>0</v>
      </c>
      <c r="AM278" s="149" t="s">
        <v>115</v>
      </c>
      <c r="AN278" s="26">
        <v>1050</v>
      </c>
      <c r="AO278" s="25" t="s">
        <v>116</v>
      </c>
      <c r="AQ278" s="149" t="s">
        <v>117</v>
      </c>
      <c r="AR278" s="61">
        <v>8430</v>
      </c>
      <c r="AS278" s="149" t="s">
        <v>115</v>
      </c>
      <c r="AT278" s="58" t="s">
        <v>118</v>
      </c>
      <c r="AU278" s="149" t="s">
        <v>116</v>
      </c>
      <c r="AV278" s="58" t="s">
        <v>118</v>
      </c>
      <c r="AW278" s="149" t="s">
        <v>115</v>
      </c>
      <c r="AX278" s="58" t="s">
        <v>118</v>
      </c>
      <c r="AY278" s="149" t="s">
        <v>115</v>
      </c>
      <c r="AZ278" s="58" t="s">
        <v>118</v>
      </c>
      <c r="BA278" s="149" t="s">
        <v>115</v>
      </c>
      <c r="BB278" s="150"/>
      <c r="BC278" s="149" t="s">
        <v>115</v>
      </c>
      <c r="BD278" s="61">
        <v>1000</v>
      </c>
      <c r="BE278" s="149" t="s">
        <v>115</v>
      </c>
      <c r="BF278" s="58" t="s">
        <v>118</v>
      </c>
      <c r="BG278" s="149" t="s">
        <v>115</v>
      </c>
      <c r="BH278" s="150"/>
      <c r="BI278" s="25" t="s">
        <v>117</v>
      </c>
      <c r="BJ278" s="150"/>
      <c r="BK278" s="25" t="s">
        <v>117</v>
      </c>
      <c r="BL278" s="150"/>
      <c r="BM278" s="25" t="s">
        <v>117</v>
      </c>
      <c r="BN278" s="150"/>
      <c r="BO278" s="25" t="s">
        <v>117</v>
      </c>
      <c r="BP278" s="150"/>
      <c r="BQ278" s="25" t="s">
        <v>117</v>
      </c>
      <c r="BR278" s="150"/>
      <c r="BS278" s="25" t="s">
        <v>117</v>
      </c>
      <c r="BT278" s="150"/>
      <c r="BU278" s="25" t="s">
        <v>117</v>
      </c>
      <c r="BV278" s="150"/>
      <c r="BW278" s="25" t="s">
        <v>117</v>
      </c>
      <c r="BX278" s="150"/>
      <c r="BY278" s="25" t="s">
        <v>117</v>
      </c>
      <c r="BZ278" s="150"/>
      <c r="CA278" s="25" t="s">
        <v>117</v>
      </c>
      <c r="CB278" s="150"/>
      <c r="CC278" s="25" t="s">
        <v>117</v>
      </c>
      <c r="CD278" s="150"/>
      <c r="CE278" s="25" t="s">
        <v>117</v>
      </c>
      <c r="CF278" s="150"/>
      <c r="CG278" s="25" t="s">
        <v>117</v>
      </c>
      <c r="CH278" s="150"/>
      <c r="CI278" s="25"/>
      <c r="CJ278" s="150"/>
      <c r="CK278" s="62" t="s">
        <v>117</v>
      </c>
      <c r="CL278" s="150"/>
      <c r="CM278" s="62" t="s">
        <v>117</v>
      </c>
      <c r="CN278" s="150"/>
      <c r="CO278" s="25" t="s">
        <v>117</v>
      </c>
      <c r="CP278" s="30">
        <v>400</v>
      </c>
      <c r="CQ278" s="149" t="s">
        <v>115</v>
      </c>
      <c r="CR278" s="139"/>
      <c r="CS278" s="149" t="s">
        <v>117</v>
      </c>
      <c r="CT278" s="139"/>
      <c r="CU278" s="149" t="s">
        <v>117</v>
      </c>
      <c r="CV278" s="139"/>
      <c r="CW278" s="149" t="s">
        <v>117</v>
      </c>
      <c r="CX278" s="139"/>
      <c r="CY278" s="25" t="s">
        <v>117</v>
      </c>
      <c r="CZ278" s="139"/>
      <c r="DA278" s="25" t="s">
        <v>117</v>
      </c>
      <c r="DB278" s="33" t="s">
        <v>2292</v>
      </c>
      <c r="DC278" s="25" t="s">
        <v>116</v>
      </c>
      <c r="DD278" s="34">
        <f>ROUND(0.075*SUM(AD278,AF278,AH278,AJ278,AL278,AN278,AP278,AR278,AT278,AV278,AX278,AZ278,BB278,BR278,BT278,BV278,BX278,BZ278,CB278,CD278,CF278,CJ278,CL278,CN278,CP278,CR278,CT278,CV278,CX278,CZ278),0)</f>
        <v>1373</v>
      </c>
      <c r="DE278" s="142" t="s">
        <v>2329</v>
      </c>
      <c r="DF278" s="142" t="str">
        <f>A278&amp;"#"&amp;C278&amp;"#"&amp;D278</f>
        <v>United Kingdom#Trust#United Kingdom Trust</v>
      </c>
      <c r="DG278" s="142" t="b">
        <f>DE278=DF278</f>
        <v>1</v>
      </c>
    </row>
    <row r="279" spans="1:111" ht="15" hidden="1" customHeight="1" x14ac:dyDescent="0.35">
      <c r="A279" s="185" t="s">
        <v>2330</v>
      </c>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c r="AA279" s="185"/>
      <c r="AB279" s="185"/>
      <c r="AC279" s="185"/>
      <c r="AD279" s="185"/>
      <c r="AE279" s="185"/>
      <c r="AF279" s="185"/>
      <c r="AG279" s="185"/>
      <c r="AH279" s="185"/>
      <c r="AI279" s="185"/>
      <c r="AJ279" s="185"/>
      <c r="AK279" s="185"/>
      <c r="AL279" s="185"/>
      <c r="AM279" s="185"/>
      <c r="AN279" s="185"/>
      <c r="AO279" s="185"/>
      <c r="AP279" s="185"/>
      <c r="AQ279" s="185"/>
      <c r="AR279" s="185"/>
      <c r="AS279" s="185"/>
      <c r="AT279" s="185"/>
      <c r="AU279" s="185"/>
      <c r="AV279" s="185"/>
      <c r="AW279" s="185"/>
      <c r="AX279" s="185"/>
      <c r="AY279" s="185"/>
      <c r="AZ279" s="185"/>
      <c r="BA279" s="185"/>
      <c r="BB279" s="185"/>
      <c r="BC279" s="185"/>
      <c r="BD279" s="185"/>
      <c r="BE279" s="185"/>
      <c r="BF279" s="185"/>
      <c r="BG279" s="185"/>
      <c r="BH279" s="185"/>
      <c r="BI279" s="185"/>
      <c r="BJ279" s="185"/>
      <c r="BK279" s="185"/>
      <c r="BL279" s="185"/>
      <c r="BM279" s="185"/>
      <c r="BN279" s="185"/>
      <c r="BO279" s="185"/>
      <c r="BP279" s="185"/>
      <c r="BQ279" s="185"/>
      <c r="BR279" s="185"/>
      <c r="BS279" s="185"/>
      <c r="BT279" s="185"/>
      <c r="BU279" s="185"/>
      <c r="BV279" s="185"/>
      <c r="BW279" s="185"/>
      <c r="BX279" s="185"/>
      <c r="BY279" s="185"/>
      <c r="BZ279" s="185"/>
      <c r="CA279" s="185"/>
      <c r="CB279" s="185"/>
      <c r="CC279" s="185"/>
      <c r="CD279" s="185"/>
      <c r="CE279" s="185"/>
      <c r="CF279" s="185"/>
      <c r="CG279" s="185"/>
      <c r="CH279" s="185"/>
      <c r="CI279" s="185"/>
      <c r="CJ279" s="185"/>
      <c r="CK279" s="185"/>
      <c r="CL279" s="185"/>
      <c r="CM279" s="185"/>
      <c r="CN279" s="185"/>
      <c r="CO279" s="185"/>
      <c r="CP279" s="185"/>
      <c r="CQ279" s="185"/>
      <c r="CR279" s="185"/>
      <c r="CS279" s="185"/>
      <c r="CT279" s="185"/>
      <c r="CU279" s="185"/>
      <c r="CV279" s="185"/>
      <c r="CW279" s="185"/>
      <c r="CX279" s="185"/>
      <c r="CY279" s="185"/>
      <c r="CZ279" s="185"/>
      <c r="DA279" s="185"/>
      <c r="DB279" s="185"/>
      <c r="DC279" s="185"/>
      <c r="DE279" t="s">
        <v>85</v>
      </c>
      <c r="DF279" t="str">
        <f>A260&amp;"#"&amp;C260&amp;"#"&amp;D260</f>
        <v>South Dakota#Trust#South Dakota Discretionary Trust</v>
      </c>
    </row>
    <row r="280" spans="1:111" ht="15" hidden="1" customHeight="1" x14ac:dyDescent="0.35">
      <c r="A280" s="72" t="s">
        <v>2331</v>
      </c>
      <c r="B280" s="42" t="s">
        <v>2332</v>
      </c>
      <c r="C280" s="72" t="s">
        <v>88</v>
      </c>
      <c r="D280" s="73" t="s">
        <v>2333</v>
      </c>
      <c r="E280" s="72" t="s">
        <v>90</v>
      </c>
      <c r="F280" s="20" t="s">
        <v>2334</v>
      </c>
      <c r="G280" s="20" t="s">
        <v>2335</v>
      </c>
      <c r="H280" s="20" t="s">
        <v>93</v>
      </c>
      <c r="I280" s="20" t="s">
        <v>94</v>
      </c>
      <c r="J280" s="20" t="s">
        <v>2336</v>
      </c>
      <c r="K280" s="20" t="s">
        <v>96</v>
      </c>
      <c r="L280" s="20" t="s">
        <v>97</v>
      </c>
      <c r="M280" s="20" t="s">
        <v>98</v>
      </c>
      <c r="N280" s="20" t="s">
        <v>2337</v>
      </c>
      <c r="O280" s="20" t="s">
        <v>100</v>
      </c>
      <c r="P280" s="20" t="s">
        <v>101</v>
      </c>
      <c r="Q280" s="20" t="s">
        <v>102</v>
      </c>
      <c r="R280" s="20" t="s">
        <v>103</v>
      </c>
      <c r="S280" s="20" t="s">
        <v>104</v>
      </c>
      <c r="T280" s="20" t="s">
        <v>105</v>
      </c>
      <c r="U280" s="20" t="s">
        <v>106</v>
      </c>
      <c r="V280" s="21" t="s">
        <v>243</v>
      </c>
      <c r="W280" s="21" t="s">
        <v>203</v>
      </c>
      <c r="X280" s="21" t="s">
        <v>109</v>
      </c>
      <c r="Y280" s="21" t="s">
        <v>2338</v>
      </c>
      <c r="Z280" s="21" t="s">
        <v>256</v>
      </c>
      <c r="AA280" s="21" t="s">
        <v>112</v>
      </c>
      <c r="AB280" s="21" t="s">
        <v>2339</v>
      </c>
      <c r="AC280" s="21" t="s">
        <v>2340</v>
      </c>
      <c r="AD280" s="26">
        <v>7970</v>
      </c>
      <c r="AE280" s="23" t="s">
        <v>115</v>
      </c>
      <c r="AF280" s="75"/>
      <c r="AG280" s="23" t="s">
        <v>116</v>
      </c>
      <c r="AH280" s="75"/>
      <c r="AI280" s="25" t="s">
        <v>117</v>
      </c>
      <c r="AJ280" s="75"/>
      <c r="AK280" s="25" t="s">
        <v>117</v>
      </c>
      <c r="AL280" s="22">
        <v>0</v>
      </c>
      <c r="AM280" s="23" t="s">
        <v>115</v>
      </c>
      <c r="AN280" s="75"/>
      <c r="AO280" s="25" t="s">
        <v>117</v>
      </c>
      <c r="AP280" s="26">
        <v>4080</v>
      </c>
      <c r="AQ280" s="23" t="s">
        <v>115</v>
      </c>
      <c r="AR280" s="75"/>
      <c r="AS280" s="23" t="s">
        <v>117</v>
      </c>
      <c r="AT280" s="26">
        <v>5650</v>
      </c>
      <c r="AU280" s="23" t="s">
        <v>116</v>
      </c>
      <c r="AV280" s="26">
        <v>3000</v>
      </c>
      <c r="AW280" s="23" t="s">
        <v>115</v>
      </c>
      <c r="AX280" s="58" t="s">
        <v>118</v>
      </c>
      <c r="AY280" s="23" t="s">
        <v>115</v>
      </c>
      <c r="AZ280" s="26">
        <v>650</v>
      </c>
      <c r="BA280" s="23" t="s">
        <v>115</v>
      </c>
      <c r="BB280" s="26">
        <v>888</v>
      </c>
      <c r="BC280" s="23" t="s">
        <v>115</v>
      </c>
      <c r="BD280" s="58" t="s">
        <v>118</v>
      </c>
      <c r="BE280" s="23" t="s">
        <v>115</v>
      </c>
      <c r="BF280" s="58" t="s">
        <v>118</v>
      </c>
      <c r="BG280" s="23" t="s">
        <v>115</v>
      </c>
      <c r="BH280" s="75"/>
      <c r="BI280" s="25" t="s">
        <v>117</v>
      </c>
      <c r="BJ280" s="75"/>
      <c r="BK280" s="25" t="s">
        <v>117</v>
      </c>
      <c r="BL280" s="75"/>
      <c r="BM280" s="25" t="s">
        <v>117</v>
      </c>
      <c r="BN280" s="75"/>
      <c r="BO280" s="25" t="s">
        <v>117</v>
      </c>
      <c r="BP280" s="75"/>
      <c r="BQ280" s="25" t="s">
        <v>117</v>
      </c>
      <c r="BR280" s="75"/>
      <c r="BS280" s="25" t="s">
        <v>117</v>
      </c>
      <c r="BT280" s="75"/>
      <c r="BU280" s="25" t="s">
        <v>117</v>
      </c>
      <c r="BV280" s="75"/>
      <c r="BW280" s="25" t="s">
        <v>117</v>
      </c>
      <c r="BX280" s="75"/>
      <c r="BY280" s="25" t="s">
        <v>117</v>
      </c>
      <c r="BZ280" s="75"/>
      <c r="CA280" s="25" t="s">
        <v>117</v>
      </c>
      <c r="CB280" s="75"/>
      <c r="CC280" s="25" t="s">
        <v>117</v>
      </c>
      <c r="CD280" s="75"/>
      <c r="CE280" s="25" t="s">
        <v>117</v>
      </c>
      <c r="CF280" s="75"/>
      <c r="CG280" s="25" t="s">
        <v>117</v>
      </c>
      <c r="CH280" s="75"/>
      <c r="CI280" s="25"/>
      <c r="CJ280" s="75"/>
      <c r="CK280" s="62" t="s">
        <v>117</v>
      </c>
      <c r="CL280" s="75"/>
      <c r="CM280" s="62" t="s">
        <v>117</v>
      </c>
      <c r="CN280" s="75"/>
      <c r="CO280" s="25" t="s">
        <v>117</v>
      </c>
      <c r="CP280" s="30">
        <v>400</v>
      </c>
      <c r="CQ280" s="23" t="s">
        <v>115</v>
      </c>
      <c r="CR280" s="32"/>
      <c r="CS280" s="23" t="s">
        <v>117</v>
      </c>
      <c r="CT280" s="32"/>
      <c r="CU280" s="23" t="s">
        <v>117</v>
      </c>
      <c r="CV280" s="32"/>
      <c r="CW280" s="23" t="s">
        <v>117</v>
      </c>
      <c r="CX280" s="32"/>
      <c r="CY280" s="25" t="s">
        <v>117</v>
      </c>
      <c r="CZ280" s="32"/>
      <c r="DA280" s="25" t="s">
        <v>117</v>
      </c>
      <c r="DB280" s="33" t="s">
        <v>120</v>
      </c>
      <c r="DC280" s="25" t="s">
        <v>116</v>
      </c>
      <c r="DD280" s="34">
        <f>ROUND(0.075*SUM(AD280,AF280,AH280,AJ280,AL280,AN280,AP280,AR280,AT280,AV280,AX280,AZ280,BB280,BR280,BT280,BV280,BX280,BZ280,CB280,CD280,CF280,CJ280,CL280,CN280,CP280,CR280,CT280,CV280,CX280,CZ280),0)</f>
        <v>1698</v>
      </c>
      <c r="DE280" t="s">
        <v>2341</v>
      </c>
      <c r="DF280" t="str">
        <f>A280&amp;"#"&amp;C280&amp;"#"&amp;D280</f>
        <v>Uruguay#Company#Uruguay SAU</v>
      </c>
      <c r="DG280" t="b">
        <f>DE280=DF280</f>
        <v>1</v>
      </c>
    </row>
    <row r="281" spans="1:111" ht="34.5" hidden="1" customHeight="1" x14ac:dyDescent="0.35">
      <c r="A281" s="42" t="s">
        <v>2331</v>
      </c>
      <c r="B281" s="42" t="s">
        <v>2332</v>
      </c>
      <c r="C281" s="42" t="s">
        <v>88</v>
      </c>
      <c r="D281" s="43" t="s">
        <v>2342</v>
      </c>
      <c r="E281" s="42" t="s">
        <v>90</v>
      </c>
      <c r="F281" s="20" t="s">
        <v>2343</v>
      </c>
      <c r="G281" s="20" t="s">
        <v>2344</v>
      </c>
      <c r="H281" s="20" t="s">
        <v>93</v>
      </c>
      <c r="I281" s="20" t="s">
        <v>94</v>
      </c>
      <c r="J281" s="20" t="s">
        <v>2336</v>
      </c>
      <c r="K281" s="20" t="s">
        <v>96</v>
      </c>
      <c r="L281" s="20" t="s">
        <v>97</v>
      </c>
      <c r="M281" s="20" t="s">
        <v>98</v>
      </c>
      <c r="N281" s="20" t="s">
        <v>2337</v>
      </c>
      <c r="O281" s="20" t="s">
        <v>100</v>
      </c>
      <c r="P281" s="20" t="s">
        <v>101</v>
      </c>
      <c r="Q281" s="20" t="s">
        <v>102</v>
      </c>
      <c r="R281" s="20" t="s">
        <v>103</v>
      </c>
      <c r="S281" s="20" t="s">
        <v>104</v>
      </c>
      <c r="T281" s="20" t="s">
        <v>105</v>
      </c>
      <c r="U281" s="20" t="s">
        <v>106</v>
      </c>
      <c r="V281" s="21" t="s">
        <v>243</v>
      </c>
      <c r="W281" s="21" t="s">
        <v>203</v>
      </c>
      <c r="X281" s="21" t="s">
        <v>109</v>
      </c>
      <c r="Y281" s="21" t="s">
        <v>2345</v>
      </c>
      <c r="Z281" s="21" t="s">
        <v>256</v>
      </c>
      <c r="AA281" s="21" t="s">
        <v>112</v>
      </c>
      <c r="AB281" s="21" t="s">
        <v>2346</v>
      </c>
      <c r="AC281" s="21" t="s">
        <v>2347</v>
      </c>
      <c r="AD281" s="47">
        <v>3500</v>
      </c>
      <c r="AE281" s="23" t="s">
        <v>115</v>
      </c>
      <c r="AF281" s="44"/>
      <c r="AG281" s="23" t="s">
        <v>116</v>
      </c>
      <c r="AH281" s="44"/>
      <c r="AI281" s="25" t="s">
        <v>117</v>
      </c>
      <c r="AJ281" s="44"/>
      <c r="AK281" s="25" t="s">
        <v>117</v>
      </c>
      <c r="AL281" s="22">
        <v>0</v>
      </c>
      <c r="AM281" s="23" t="s">
        <v>115</v>
      </c>
      <c r="AN281" s="44"/>
      <c r="AO281" s="25" t="s">
        <v>117</v>
      </c>
      <c r="AP281" s="47">
        <v>2800</v>
      </c>
      <c r="AQ281" s="23" t="s">
        <v>115</v>
      </c>
      <c r="AR281" s="44"/>
      <c r="AS281" s="23" t="s">
        <v>117</v>
      </c>
      <c r="AT281" s="45" t="s">
        <v>118</v>
      </c>
      <c r="AU281" s="23" t="s">
        <v>116</v>
      </c>
      <c r="AV281" s="45" t="s">
        <v>118</v>
      </c>
      <c r="AW281" s="23" t="s">
        <v>115</v>
      </c>
      <c r="AX281" s="45" t="s">
        <v>118</v>
      </c>
      <c r="AY281" s="23" t="s">
        <v>115</v>
      </c>
      <c r="AZ281" s="45" t="s">
        <v>118</v>
      </c>
      <c r="BA281" s="23" t="s">
        <v>115</v>
      </c>
      <c r="BB281" s="46"/>
      <c r="BC281" s="23" t="s">
        <v>115</v>
      </c>
      <c r="BD281" s="45" t="s">
        <v>118</v>
      </c>
      <c r="BE281" s="23" t="s">
        <v>115</v>
      </c>
      <c r="BF281" s="45" t="s">
        <v>118</v>
      </c>
      <c r="BG281" s="23" t="s">
        <v>115</v>
      </c>
      <c r="BH281" s="46"/>
      <c r="BI281" s="25" t="s">
        <v>117</v>
      </c>
      <c r="BJ281" s="46"/>
      <c r="BK281" s="25" t="s">
        <v>117</v>
      </c>
      <c r="BL281" s="46"/>
      <c r="BM281" s="25" t="s">
        <v>117</v>
      </c>
      <c r="BN281" s="46"/>
      <c r="BO281" s="25" t="s">
        <v>117</v>
      </c>
      <c r="BP281" s="46"/>
      <c r="BQ281" s="25" t="s">
        <v>117</v>
      </c>
      <c r="BR281" s="46"/>
      <c r="BS281" s="25" t="s">
        <v>117</v>
      </c>
      <c r="BT281" s="46"/>
      <c r="BU281" s="25" t="s">
        <v>117</v>
      </c>
      <c r="BV281" s="46"/>
      <c r="BW281" s="25" t="s">
        <v>117</v>
      </c>
      <c r="BX281" s="46"/>
      <c r="BY281" s="25" t="s">
        <v>117</v>
      </c>
      <c r="BZ281" s="46"/>
      <c r="CA281" s="25" t="s">
        <v>117</v>
      </c>
      <c r="CB281" s="46"/>
      <c r="CC281" s="25" t="s">
        <v>117</v>
      </c>
      <c r="CD281" s="46"/>
      <c r="CE281" s="25" t="s">
        <v>117</v>
      </c>
      <c r="CF281" s="46"/>
      <c r="CG281" s="25" t="s">
        <v>117</v>
      </c>
      <c r="CH281" s="46"/>
      <c r="CI281" s="25"/>
      <c r="CJ281" s="46"/>
      <c r="CK281" s="48" t="s">
        <v>117</v>
      </c>
      <c r="CL281" s="46"/>
      <c r="CM281" s="48" t="s">
        <v>117</v>
      </c>
      <c r="CN281" s="46"/>
      <c r="CO281" s="25" t="s">
        <v>117</v>
      </c>
      <c r="CP281" s="30">
        <v>400</v>
      </c>
      <c r="CQ281" s="23" t="s">
        <v>115</v>
      </c>
      <c r="CR281" s="32"/>
      <c r="CS281" s="23" t="s">
        <v>117</v>
      </c>
      <c r="CT281" s="32"/>
      <c r="CU281" s="23" t="s">
        <v>117</v>
      </c>
      <c r="CV281" s="32"/>
      <c r="CW281" s="23" t="s">
        <v>117</v>
      </c>
      <c r="CX281" s="32"/>
      <c r="CY281" s="25" t="s">
        <v>117</v>
      </c>
      <c r="CZ281" s="32"/>
      <c r="DA281" s="25" t="s">
        <v>117</v>
      </c>
      <c r="DB281" s="33" t="s">
        <v>120</v>
      </c>
      <c r="DC281" s="25" t="s">
        <v>116</v>
      </c>
      <c r="DD281" s="34">
        <f>ROUND(0.075*SUM(AD281,AF281,AH281,AJ281,AL281,AN281,AP281,AR281,AT281,AV281,AX281,AZ281,BB281,BR281,BT281,BV281,BX281,BZ281,CB281,CD281,CF281,CJ281,CL281,CN281,CP281,CR281,CT281,CV281,CX281,CZ281),0)</f>
        <v>503</v>
      </c>
      <c r="DE281" t="s">
        <v>2348</v>
      </c>
      <c r="DF281" t="str">
        <f>A281&amp;"#"&amp;C281&amp;"#"&amp;D281</f>
        <v>Uruguay#Company#Uruguay SAU art 47</v>
      </c>
      <c r="DG281" t="b">
        <f>DE281=DF281</f>
        <v>1</v>
      </c>
    </row>
    <row r="282" spans="1:111" ht="45.75" hidden="1" customHeight="1" x14ac:dyDescent="0.35">
      <c r="A282" s="35" t="s">
        <v>2331</v>
      </c>
      <c r="B282" s="42" t="s">
        <v>2332</v>
      </c>
      <c r="C282" s="35" t="s">
        <v>88</v>
      </c>
      <c r="D282" s="36" t="s">
        <v>2349</v>
      </c>
      <c r="E282" s="35" t="s">
        <v>90</v>
      </c>
      <c r="F282" s="20" t="s">
        <v>596</v>
      </c>
      <c r="G282" s="20" t="s">
        <v>2350</v>
      </c>
      <c r="H282" s="20" t="s">
        <v>93</v>
      </c>
      <c r="I282" s="20" t="s">
        <v>94</v>
      </c>
      <c r="J282" s="20" t="s">
        <v>2336</v>
      </c>
      <c r="K282" s="20" t="s">
        <v>96</v>
      </c>
      <c r="L282" s="20" t="s">
        <v>97</v>
      </c>
      <c r="M282" s="20" t="s">
        <v>98</v>
      </c>
      <c r="N282" s="20" t="s">
        <v>2337</v>
      </c>
      <c r="O282" s="20" t="s">
        <v>100</v>
      </c>
      <c r="P282" s="20" t="s">
        <v>101</v>
      </c>
      <c r="Q282" s="20" t="s">
        <v>102</v>
      </c>
      <c r="R282" s="20" t="s">
        <v>103</v>
      </c>
      <c r="S282" s="20" t="s">
        <v>104</v>
      </c>
      <c r="T282" s="20" t="s">
        <v>105</v>
      </c>
      <c r="U282" s="20" t="s">
        <v>106</v>
      </c>
      <c r="V282" s="21" t="s">
        <v>243</v>
      </c>
      <c r="W282" s="21" t="s">
        <v>203</v>
      </c>
      <c r="X282" s="21" t="s">
        <v>109</v>
      </c>
      <c r="Y282" s="21" t="s">
        <v>2338</v>
      </c>
      <c r="Z282" s="21" t="s">
        <v>256</v>
      </c>
      <c r="AA282" s="21" t="s">
        <v>601</v>
      </c>
      <c r="AB282" s="21" t="s">
        <v>2351</v>
      </c>
      <c r="AC282" s="21" t="s">
        <v>2352</v>
      </c>
      <c r="AD282" s="37">
        <v>3500</v>
      </c>
      <c r="AE282" s="23" t="s">
        <v>115</v>
      </c>
      <c r="AF282" s="38"/>
      <c r="AG282" s="23" t="s">
        <v>116</v>
      </c>
      <c r="AH282" s="38"/>
      <c r="AI282" s="25" t="s">
        <v>117</v>
      </c>
      <c r="AJ282" s="38"/>
      <c r="AK282" s="25" t="s">
        <v>117</v>
      </c>
      <c r="AL282" s="22">
        <v>0</v>
      </c>
      <c r="AM282" s="23" t="s">
        <v>115</v>
      </c>
      <c r="AN282" s="38"/>
      <c r="AO282" s="25" t="s">
        <v>117</v>
      </c>
      <c r="AP282" s="37">
        <v>2800</v>
      </c>
      <c r="AQ282" s="23" t="s">
        <v>115</v>
      </c>
      <c r="AR282" s="38"/>
      <c r="AS282" s="23" t="s">
        <v>117</v>
      </c>
      <c r="AT282" s="39" t="s">
        <v>118</v>
      </c>
      <c r="AU282" s="23" t="s">
        <v>116</v>
      </c>
      <c r="AV282" s="39" t="s">
        <v>118</v>
      </c>
      <c r="AW282" s="23" t="s">
        <v>115</v>
      </c>
      <c r="AX282" s="39" t="s">
        <v>118</v>
      </c>
      <c r="AY282" s="23" t="s">
        <v>115</v>
      </c>
      <c r="AZ282" s="39" t="s">
        <v>118</v>
      </c>
      <c r="BA282" s="23" t="s">
        <v>115</v>
      </c>
      <c r="BB282" s="40"/>
      <c r="BC282" s="23" t="s">
        <v>115</v>
      </c>
      <c r="BD282" s="39" t="s">
        <v>118</v>
      </c>
      <c r="BE282" s="23" t="s">
        <v>115</v>
      </c>
      <c r="BF282" s="39" t="s">
        <v>118</v>
      </c>
      <c r="BG282" s="23" t="s">
        <v>115</v>
      </c>
      <c r="BH282" s="40"/>
      <c r="BI282" s="25" t="s">
        <v>117</v>
      </c>
      <c r="BJ282" s="40"/>
      <c r="BK282" s="25" t="s">
        <v>117</v>
      </c>
      <c r="BL282" s="40"/>
      <c r="BM282" s="25" t="s">
        <v>117</v>
      </c>
      <c r="BN282" s="40"/>
      <c r="BO282" s="25" t="s">
        <v>117</v>
      </c>
      <c r="BP282" s="40"/>
      <c r="BQ282" s="25" t="s">
        <v>117</v>
      </c>
      <c r="BR282" s="40"/>
      <c r="BS282" s="25" t="s">
        <v>117</v>
      </c>
      <c r="BT282" s="40"/>
      <c r="BU282" s="25" t="s">
        <v>117</v>
      </c>
      <c r="BV282" s="40"/>
      <c r="BW282" s="25" t="s">
        <v>117</v>
      </c>
      <c r="BX282" s="40"/>
      <c r="BY282" s="25" t="s">
        <v>117</v>
      </c>
      <c r="BZ282" s="40"/>
      <c r="CA282" s="25" t="s">
        <v>117</v>
      </c>
      <c r="CB282" s="40"/>
      <c r="CC282" s="25" t="s">
        <v>117</v>
      </c>
      <c r="CD282" s="40"/>
      <c r="CE282" s="25" t="s">
        <v>117</v>
      </c>
      <c r="CF282" s="40"/>
      <c r="CG282" s="25" t="s">
        <v>117</v>
      </c>
      <c r="CH282" s="40"/>
      <c r="CI282" s="25"/>
      <c r="CJ282" s="40"/>
      <c r="CK282" s="41" t="s">
        <v>117</v>
      </c>
      <c r="CL282" s="40"/>
      <c r="CM282" s="41" t="s">
        <v>117</v>
      </c>
      <c r="CN282" s="40"/>
      <c r="CO282" s="25" t="s">
        <v>117</v>
      </c>
      <c r="CP282" s="30">
        <v>400</v>
      </c>
      <c r="CQ282" s="23" t="s">
        <v>115</v>
      </c>
      <c r="CR282" s="32"/>
      <c r="CS282" s="23" t="s">
        <v>117</v>
      </c>
      <c r="CT282" s="32"/>
      <c r="CU282" s="23" t="s">
        <v>117</v>
      </c>
      <c r="CV282" s="32"/>
      <c r="CW282" s="23" t="s">
        <v>117</v>
      </c>
      <c r="CX282" s="32"/>
      <c r="CY282" s="25" t="s">
        <v>117</v>
      </c>
      <c r="CZ282" s="32"/>
      <c r="DA282" s="25" t="s">
        <v>117</v>
      </c>
      <c r="DB282" s="33" t="s">
        <v>120</v>
      </c>
      <c r="DC282" s="25" t="s">
        <v>116</v>
      </c>
      <c r="DD282" s="34">
        <f>ROUND(0.075*SUM(AD282,AF282,AH282,AJ282,AL282,AN282,AP282,AR282,AT282,AV282,AX282,AZ282,BB282,BR282,BT282,BV282,BX282,BZ282,CB282,CD282,CF282,CJ282,CL282,CN282,CP282,CR282,CT282,CV282,CX282,CZ282),0)</f>
        <v>503</v>
      </c>
      <c r="DE282" t="s">
        <v>2353</v>
      </c>
      <c r="DF282" t="str">
        <f>A282&amp;"#"&amp;C282&amp;"#"&amp;D282</f>
        <v>Uruguay#Company#Uruguay SA</v>
      </c>
      <c r="DG282" t="b">
        <f>DE282=DF282</f>
        <v>1</v>
      </c>
    </row>
    <row r="283" spans="1:111" ht="48.75" hidden="1" customHeight="1" x14ac:dyDescent="0.35">
      <c r="A283" s="42" t="s">
        <v>2331</v>
      </c>
      <c r="B283" s="42" t="s">
        <v>2332</v>
      </c>
      <c r="C283" s="42" t="s">
        <v>88</v>
      </c>
      <c r="D283" s="43" t="s">
        <v>2354</v>
      </c>
      <c r="E283" s="42" t="s">
        <v>90</v>
      </c>
      <c r="F283" s="20" t="s">
        <v>394</v>
      </c>
      <c r="G283" s="20" t="s">
        <v>2355</v>
      </c>
      <c r="H283" s="20" t="s">
        <v>93</v>
      </c>
      <c r="I283" s="20" t="s">
        <v>94</v>
      </c>
      <c r="J283" s="20" t="s">
        <v>2336</v>
      </c>
      <c r="K283" s="20" t="s">
        <v>96</v>
      </c>
      <c r="L283" s="20" t="s">
        <v>97</v>
      </c>
      <c r="M283" s="20" t="s">
        <v>98</v>
      </c>
      <c r="N283" s="20" t="s">
        <v>2337</v>
      </c>
      <c r="O283" s="20" t="s">
        <v>100</v>
      </c>
      <c r="P283" s="20" t="s">
        <v>101</v>
      </c>
      <c r="Q283" s="20" t="s">
        <v>102</v>
      </c>
      <c r="R283" s="20" t="s">
        <v>103</v>
      </c>
      <c r="S283" s="20" t="s">
        <v>104</v>
      </c>
      <c r="T283" s="20" t="s">
        <v>105</v>
      </c>
      <c r="U283" s="20" t="s">
        <v>106</v>
      </c>
      <c r="V283" s="21" t="s">
        <v>243</v>
      </c>
      <c r="W283" s="21" t="s">
        <v>203</v>
      </c>
      <c r="X283" s="21" t="s">
        <v>109</v>
      </c>
      <c r="Y283" s="21" t="s">
        <v>2356</v>
      </c>
      <c r="Z283" s="21" t="s">
        <v>256</v>
      </c>
      <c r="AA283" s="21" t="s">
        <v>601</v>
      </c>
      <c r="AB283" s="21" t="s">
        <v>2357</v>
      </c>
      <c r="AC283" s="21" t="s">
        <v>2358</v>
      </c>
      <c r="AD283" s="47">
        <v>3500</v>
      </c>
      <c r="AE283" s="23" t="s">
        <v>115</v>
      </c>
      <c r="AF283" s="44"/>
      <c r="AG283" s="23" t="s">
        <v>116</v>
      </c>
      <c r="AH283" s="44"/>
      <c r="AI283" s="25" t="s">
        <v>117</v>
      </c>
      <c r="AJ283" s="44"/>
      <c r="AK283" s="25" t="s">
        <v>117</v>
      </c>
      <c r="AL283" s="22">
        <v>0</v>
      </c>
      <c r="AM283" s="23" t="s">
        <v>115</v>
      </c>
      <c r="AN283" s="44"/>
      <c r="AO283" s="25" t="s">
        <v>117</v>
      </c>
      <c r="AP283" s="47">
        <v>2800</v>
      </c>
      <c r="AQ283" s="23" t="s">
        <v>115</v>
      </c>
      <c r="AR283" s="44"/>
      <c r="AS283" s="23" t="s">
        <v>117</v>
      </c>
      <c r="AT283" s="45" t="s">
        <v>118</v>
      </c>
      <c r="AU283" s="23" t="s">
        <v>116</v>
      </c>
      <c r="AV283" s="45" t="s">
        <v>118</v>
      </c>
      <c r="AW283" s="23" t="s">
        <v>115</v>
      </c>
      <c r="AX283" s="45" t="s">
        <v>118</v>
      </c>
      <c r="AY283" s="23" t="s">
        <v>115</v>
      </c>
      <c r="AZ283" s="45" t="s">
        <v>118</v>
      </c>
      <c r="BA283" s="23" t="s">
        <v>115</v>
      </c>
      <c r="BB283" s="46"/>
      <c r="BC283" s="23" t="s">
        <v>115</v>
      </c>
      <c r="BD283" s="45" t="s">
        <v>118</v>
      </c>
      <c r="BE283" s="23" t="s">
        <v>115</v>
      </c>
      <c r="BF283" s="45" t="s">
        <v>118</v>
      </c>
      <c r="BG283" s="23" t="s">
        <v>115</v>
      </c>
      <c r="BH283" s="46"/>
      <c r="BI283" s="25" t="s">
        <v>117</v>
      </c>
      <c r="BJ283" s="46"/>
      <c r="BK283" s="25" t="s">
        <v>117</v>
      </c>
      <c r="BL283" s="46"/>
      <c r="BM283" s="25" t="s">
        <v>117</v>
      </c>
      <c r="BN283" s="46"/>
      <c r="BO283" s="25" t="s">
        <v>117</v>
      </c>
      <c r="BP283" s="46"/>
      <c r="BQ283" s="25" t="s">
        <v>117</v>
      </c>
      <c r="BR283" s="46"/>
      <c r="BS283" s="25" t="s">
        <v>117</v>
      </c>
      <c r="BT283" s="46"/>
      <c r="BU283" s="25" t="s">
        <v>117</v>
      </c>
      <c r="BV283" s="46"/>
      <c r="BW283" s="25" t="s">
        <v>117</v>
      </c>
      <c r="BX283" s="46"/>
      <c r="BY283" s="25" t="s">
        <v>117</v>
      </c>
      <c r="BZ283" s="46"/>
      <c r="CA283" s="25" t="s">
        <v>117</v>
      </c>
      <c r="CB283" s="46"/>
      <c r="CC283" s="25" t="s">
        <v>117</v>
      </c>
      <c r="CD283" s="46"/>
      <c r="CE283" s="25" t="s">
        <v>117</v>
      </c>
      <c r="CF283" s="46"/>
      <c r="CG283" s="25" t="s">
        <v>117</v>
      </c>
      <c r="CH283" s="46"/>
      <c r="CI283" s="25"/>
      <c r="CJ283" s="46"/>
      <c r="CK283" s="48" t="s">
        <v>117</v>
      </c>
      <c r="CL283" s="46"/>
      <c r="CM283" s="48" t="s">
        <v>117</v>
      </c>
      <c r="CN283" s="46"/>
      <c r="CO283" s="25" t="s">
        <v>117</v>
      </c>
      <c r="CP283" s="30">
        <v>400</v>
      </c>
      <c r="CQ283" s="23" t="s">
        <v>115</v>
      </c>
      <c r="CR283" s="32"/>
      <c r="CS283" s="23" t="s">
        <v>117</v>
      </c>
      <c r="CT283" s="32"/>
      <c r="CU283" s="23" t="s">
        <v>117</v>
      </c>
      <c r="CV283" s="32"/>
      <c r="CW283" s="23" t="s">
        <v>117</v>
      </c>
      <c r="CX283" s="32"/>
      <c r="CY283" s="25" t="s">
        <v>117</v>
      </c>
      <c r="CZ283" s="32"/>
      <c r="DA283" s="25" t="s">
        <v>117</v>
      </c>
      <c r="DB283" s="33" t="s">
        <v>120</v>
      </c>
      <c r="DC283" s="25" t="s">
        <v>116</v>
      </c>
      <c r="DD283" s="34">
        <f>ROUND(0.075*SUM(AD283,AF283,AH283,AJ283,AL283,AN283,AP283,AR283,AT283,AV283,AX283,AZ283,BB283,BR283,BT283,BV283,BX283,BZ283,CB283,CD283,CF283,CJ283,CL283,CN283,CP283,CR283,CT283,CV283,CX283,CZ283),0)</f>
        <v>503</v>
      </c>
      <c r="DE283" t="s">
        <v>2359</v>
      </c>
      <c r="DF283" t="str">
        <f>A283&amp;"#"&amp;C283&amp;"#"&amp;D283</f>
        <v>Uruguay#Company#Uruguay SRL</v>
      </c>
      <c r="DG283" t="b">
        <f>DE283=DF283</f>
        <v>1</v>
      </c>
    </row>
    <row r="284" spans="1:111" ht="48.4" hidden="1" customHeight="1" x14ac:dyDescent="0.35">
      <c r="A284" s="18" t="s">
        <v>2331</v>
      </c>
      <c r="B284" s="18"/>
      <c r="C284" s="18" t="s">
        <v>122</v>
      </c>
      <c r="D284" s="19" t="s">
        <v>2360</v>
      </c>
      <c r="E284" s="18" t="s">
        <v>90</v>
      </c>
      <c r="F284" s="20" t="s">
        <v>2361</v>
      </c>
      <c r="G284" s="20" t="s">
        <v>2362</v>
      </c>
      <c r="H284" s="20" t="s">
        <v>544</v>
      </c>
      <c r="I284" s="20" t="s">
        <v>2363</v>
      </c>
      <c r="J284" s="20" t="s">
        <v>2336</v>
      </c>
      <c r="K284" s="20" t="s">
        <v>96</v>
      </c>
      <c r="L284" s="20" t="s">
        <v>97</v>
      </c>
      <c r="M284" s="20" t="s">
        <v>98</v>
      </c>
      <c r="N284" s="20" t="s">
        <v>2364</v>
      </c>
      <c r="O284" s="20" t="s">
        <v>2365</v>
      </c>
      <c r="P284" s="20" t="s">
        <v>2366</v>
      </c>
      <c r="Q284" s="20" t="s">
        <v>2367</v>
      </c>
      <c r="R284" s="20" t="s">
        <v>2368</v>
      </c>
      <c r="S284" s="20" t="s">
        <v>2369</v>
      </c>
      <c r="T284" s="20" t="s">
        <v>2370</v>
      </c>
      <c r="U284" s="20" t="s">
        <v>2371</v>
      </c>
      <c r="V284" s="21" t="s">
        <v>2372</v>
      </c>
      <c r="W284" s="21" t="s">
        <v>203</v>
      </c>
      <c r="X284" s="21" t="s">
        <v>2373</v>
      </c>
      <c r="Y284" s="21" t="s">
        <v>2374</v>
      </c>
      <c r="Z284" s="21" t="s">
        <v>2375</v>
      </c>
      <c r="AA284" s="21" t="s">
        <v>2376</v>
      </c>
      <c r="AB284" s="21" t="s">
        <v>2377</v>
      </c>
      <c r="AC284" s="21" t="s">
        <v>2378</v>
      </c>
      <c r="AD284" s="22">
        <v>9590</v>
      </c>
      <c r="AE284" s="23" t="s">
        <v>116</v>
      </c>
      <c r="AF284" s="24"/>
      <c r="AG284" s="23" t="s">
        <v>117</v>
      </c>
      <c r="AH284" s="24"/>
      <c r="AI284" s="25" t="s">
        <v>117</v>
      </c>
      <c r="AJ284" s="24"/>
      <c r="AK284" s="25" t="s">
        <v>117</v>
      </c>
      <c r="AL284" s="22"/>
      <c r="AM284" s="23" t="s">
        <v>117</v>
      </c>
      <c r="AN284" s="24">
        <v>1800</v>
      </c>
      <c r="AO284" s="25" t="s">
        <v>116</v>
      </c>
      <c r="AP284" s="26"/>
      <c r="AQ284" s="23" t="s">
        <v>117</v>
      </c>
      <c r="AR284" s="24">
        <v>8100</v>
      </c>
      <c r="AS284" s="23" t="s">
        <v>116</v>
      </c>
      <c r="AT284" s="27"/>
      <c r="AU284" s="23" t="s">
        <v>117</v>
      </c>
      <c r="AV284" s="22">
        <v>4980</v>
      </c>
      <c r="AW284" s="23" t="s">
        <v>116</v>
      </c>
      <c r="AX284" s="22"/>
      <c r="AY284" s="23" t="s">
        <v>117</v>
      </c>
      <c r="AZ284" s="26"/>
      <c r="BA284" s="23" t="s">
        <v>117</v>
      </c>
      <c r="BB284" s="24"/>
      <c r="BC284" s="23" t="s">
        <v>117</v>
      </c>
      <c r="BD284" s="27">
        <v>4000</v>
      </c>
      <c r="BE284" s="23" t="s">
        <v>116</v>
      </c>
      <c r="BF284" s="27"/>
      <c r="BG284" s="23" t="s">
        <v>117</v>
      </c>
      <c r="BH284" s="28"/>
      <c r="BI284" s="25" t="s">
        <v>117</v>
      </c>
      <c r="BJ284" s="28"/>
      <c r="BK284" s="25" t="s">
        <v>117</v>
      </c>
      <c r="BL284" s="28"/>
      <c r="BM284" s="25" t="s">
        <v>117</v>
      </c>
      <c r="BN284" s="28"/>
      <c r="BO284" s="25" t="s">
        <v>117</v>
      </c>
      <c r="BP284" s="28"/>
      <c r="BQ284" s="25" t="s">
        <v>117</v>
      </c>
      <c r="BR284" s="28"/>
      <c r="BS284" s="25" t="s">
        <v>117</v>
      </c>
      <c r="BT284" s="28"/>
      <c r="BU284" s="25" t="s">
        <v>117</v>
      </c>
      <c r="BV284" s="28"/>
      <c r="BW284" s="25" t="s">
        <v>117</v>
      </c>
      <c r="BX284" s="28"/>
      <c r="BY284" s="25" t="s">
        <v>117</v>
      </c>
      <c r="BZ284" s="28"/>
      <c r="CA284" s="25" t="s">
        <v>117</v>
      </c>
      <c r="CB284" s="28"/>
      <c r="CC284" s="25" t="s">
        <v>117</v>
      </c>
      <c r="CD284" s="28"/>
      <c r="CE284" s="25" t="s">
        <v>117</v>
      </c>
      <c r="CF284" s="28"/>
      <c r="CG284" s="25" t="s">
        <v>117</v>
      </c>
      <c r="CH284" s="28"/>
      <c r="CI284" s="25"/>
      <c r="CJ284" s="28"/>
      <c r="CK284" s="29" t="s">
        <v>117</v>
      </c>
      <c r="CL284" s="28"/>
      <c r="CM284" s="29" t="s">
        <v>117</v>
      </c>
      <c r="CN284" s="28"/>
      <c r="CO284" s="25" t="s">
        <v>117</v>
      </c>
      <c r="CP284" s="30"/>
      <c r="CQ284" s="23" t="s">
        <v>117</v>
      </c>
      <c r="CR284" s="30"/>
      <c r="CS284" s="23" t="s">
        <v>117</v>
      </c>
      <c r="CT284" s="30"/>
      <c r="CU284" s="23" t="s">
        <v>117</v>
      </c>
      <c r="CV284" s="31"/>
      <c r="CW284" s="23" t="s">
        <v>117</v>
      </c>
      <c r="CX284" s="32"/>
      <c r="CY284" s="25" t="s">
        <v>117</v>
      </c>
      <c r="CZ284" s="32"/>
      <c r="DA284" s="25" t="s">
        <v>117</v>
      </c>
      <c r="DB284" s="33"/>
      <c r="DC284" s="25" t="s">
        <v>117</v>
      </c>
      <c r="DD284" s="34">
        <f>ROUND(0.075*SUM(AD284,AF284,AH284,AJ284,AL284,AN284,AP284,AR284,AT284,AV284,AX284,AZ284,BB284,BR284,BT284,BV284,BX284,BZ284,CB284,CD284,CF284,CJ284,CL284,CN284,CP284,CR284,CT284,CV284,CX284,CZ284),0)</f>
        <v>1835</v>
      </c>
      <c r="DE284" t="s">
        <v>2379</v>
      </c>
      <c r="DF284" t="str">
        <f>A284&amp;"#"&amp;C284&amp;"#"&amp;D284</f>
        <v>Uruguay#Trust#Uruguay Fideicomiso</v>
      </c>
      <c r="DG284" t="b">
        <f>DE284=DF284</f>
        <v>1</v>
      </c>
    </row>
    <row r="285" spans="1:111" ht="23.25" hidden="1" customHeight="1" x14ac:dyDescent="0.35">
      <c r="A285" s="184" t="s">
        <v>2380</v>
      </c>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c r="AA285" s="184"/>
      <c r="AB285" s="184"/>
      <c r="AC285" s="184"/>
      <c r="AD285" s="184"/>
      <c r="AE285" s="184"/>
      <c r="AF285" s="184"/>
      <c r="AG285" s="184"/>
      <c r="AH285" s="184"/>
      <c r="AI285" s="184"/>
      <c r="AJ285" s="184"/>
      <c r="AK285" s="184"/>
      <c r="AL285" s="184"/>
      <c r="AM285" s="184"/>
      <c r="AN285" s="184"/>
      <c r="AO285" s="184"/>
      <c r="AP285" s="184"/>
      <c r="AQ285" s="184"/>
      <c r="AR285" s="184"/>
      <c r="AS285" s="184"/>
      <c r="AT285" s="184"/>
      <c r="AU285" s="184"/>
      <c r="AV285" s="184"/>
      <c r="AW285" s="184"/>
      <c r="AX285" s="184"/>
      <c r="AY285" s="184"/>
      <c r="AZ285" s="184"/>
      <c r="BA285" s="184"/>
      <c r="BB285" s="184"/>
      <c r="BC285" s="184"/>
      <c r="BD285" s="184"/>
      <c r="BE285" s="184"/>
      <c r="BF285" s="184"/>
      <c r="BG285" s="184"/>
      <c r="BH285" s="184"/>
      <c r="BI285" s="184"/>
      <c r="BJ285" s="184"/>
      <c r="BK285" s="184"/>
      <c r="BL285" s="184"/>
      <c r="BM285" s="184"/>
      <c r="BN285" s="184"/>
      <c r="BO285" s="184"/>
      <c r="BP285" s="184"/>
      <c r="BQ285" s="184"/>
      <c r="BR285" s="184"/>
      <c r="BS285" s="184"/>
      <c r="BT285" s="184"/>
      <c r="BU285" s="184"/>
      <c r="BV285" s="184"/>
      <c r="BW285" s="184"/>
      <c r="BX285" s="184"/>
      <c r="BY285" s="184"/>
      <c r="BZ285" s="184"/>
      <c r="CA285" s="184"/>
      <c r="CB285" s="184"/>
      <c r="CC285" s="184"/>
      <c r="CD285" s="184"/>
      <c r="CE285" s="184"/>
      <c r="CF285" s="184"/>
      <c r="CG285" s="184"/>
      <c r="CH285" s="184"/>
      <c r="CI285" s="184"/>
      <c r="CJ285" s="184"/>
      <c r="CK285" s="184"/>
      <c r="CL285" s="184"/>
      <c r="CM285" s="184"/>
      <c r="CN285" s="184"/>
      <c r="CO285" s="184"/>
      <c r="CP285" s="184"/>
      <c r="CQ285" s="184"/>
      <c r="CR285" s="184"/>
      <c r="CS285" s="184"/>
      <c r="CT285" s="184"/>
      <c r="CU285" s="184"/>
      <c r="CV285" s="184"/>
      <c r="CW285" s="184"/>
      <c r="CX285" s="184"/>
      <c r="CY285" s="184"/>
      <c r="CZ285" s="184"/>
      <c r="DA285" s="184"/>
      <c r="DB285" s="184"/>
      <c r="DC285" s="184"/>
      <c r="DE285" t="s">
        <v>85</v>
      </c>
      <c r="DF285" t="str">
        <f>A265&amp;"#"&amp;C265&amp;"#"&amp;D265</f>
        <v>Spain#Fund#Spain FCR</v>
      </c>
    </row>
    <row r="286" spans="1:111" ht="36" hidden="1" customHeight="1" x14ac:dyDescent="0.35">
      <c r="A286" s="42" t="s">
        <v>2381</v>
      </c>
      <c r="B286" s="42" t="s">
        <v>539</v>
      </c>
      <c r="C286" s="42" t="s">
        <v>88</v>
      </c>
      <c r="D286" s="43" t="s">
        <v>2382</v>
      </c>
      <c r="E286" s="42" t="s">
        <v>90</v>
      </c>
      <c r="F286" s="20" t="s">
        <v>2383</v>
      </c>
      <c r="G286" s="20" t="s">
        <v>2384</v>
      </c>
      <c r="H286" s="20" t="s">
        <v>93</v>
      </c>
      <c r="I286" s="20" t="s">
        <v>94</v>
      </c>
      <c r="J286" s="20" t="s">
        <v>2385</v>
      </c>
      <c r="K286" s="20" t="s">
        <v>96</v>
      </c>
      <c r="L286" s="20" t="s">
        <v>97</v>
      </c>
      <c r="M286" s="20" t="s">
        <v>98</v>
      </c>
      <c r="N286" s="20" t="s">
        <v>2386</v>
      </c>
      <c r="O286" s="20" t="s">
        <v>100</v>
      </c>
      <c r="P286" s="20" t="s">
        <v>101</v>
      </c>
      <c r="Q286" s="20" t="s">
        <v>102</v>
      </c>
      <c r="R286" s="20" t="s">
        <v>103</v>
      </c>
      <c r="S286" s="20" t="s">
        <v>104</v>
      </c>
      <c r="T286" s="20" t="s">
        <v>105</v>
      </c>
      <c r="U286" s="20" t="s">
        <v>106</v>
      </c>
      <c r="V286" s="21" t="s">
        <v>243</v>
      </c>
      <c r="W286" s="21" t="s">
        <v>108</v>
      </c>
      <c r="X286" s="21" t="s">
        <v>109</v>
      </c>
      <c r="Y286" s="21" t="s">
        <v>2387</v>
      </c>
      <c r="Z286" s="21" t="s">
        <v>256</v>
      </c>
      <c r="AA286" s="21" t="s">
        <v>112</v>
      </c>
      <c r="AB286" s="21" t="s">
        <v>2388</v>
      </c>
      <c r="AC286" s="21" t="s">
        <v>2389</v>
      </c>
      <c r="AD286" s="47">
        <v>3500</v>
      </c>
      <c r="AE286" s="23" t="s">
        <v>115</v>
      </c>
      <c r="AF286" s="44"/>
      <c r="AG286" s="23" t="s">
        <v>116</v>
      </c>
      <c r="AH286" s="44"/>
      <c r="AI286" s="25" t="s">
        <v>117</v>
      </c>
      <c r="AJ286" s="44"/>
      <c r="AK286" s="25" t="s">
        <v>117</v>
      </c>
      <c r="AL286" s="22">
        <v>0</v>
      </c>
      <c r="AM286" s="23" t="s">
        <v>115</v>
      </c>
      <c r="AN286" s="44"/>
      <c r="AO286" s="25" t="s">
        <v>117</v>
      </c>
      <c r="AP286" s="47">
        <v>2800</v>
      </c>
      <c r="AQ286" s="23" t="s">
        <v>115</v>
      </c>
      <c r="AR286" s="44"/>
      <c r="AS286" s="23" t="s">
        <v>117</v>
      </c>
      <c r="AT286" s="45" t="s">
        <v>118</v>
      </c>
      <c r="AU286" s="23" t="s">
        <v>116</v>
      </c>
      <c r="AV286" s="45" t="s">
        <v>118</v>
      </c>
      <c r="AW286" s="23" t="s">
        <v>115</v>
      </c>
      <c r="AX286" s="45" t="s">
        <v>118</v>
      </c>
      <c r="AY286" s="23" t="s">
        <v>115</v>
      </c>
      <c r="AZ286" s="45" t="s">
        <v>118</v>
      </c>
      <c r="BA286" s="23" t="s">
        <v>115</v>
      </c>
      <c r="BB286" s="46"/>
      <c r="BC286" s="23" t="s">
        <v>115</v>
      </c>
      <c r="BD286" s="45" t="s">
        <v>118</v>
      </c>
      <c r="BE286" s="23" t="s">
        <v>115</v>
      </c>
      <c r="BF286" s="45" t="s">
        <v>118</v>
      </c>
      <c r="BG286" s="23" t="s">
        <v>115</v>
      </c>
      <c r="BH286" s="46"/>
      <c r="BI286" s="25" t="s">
        <v>117</v>
      </c>
      <c r="BJ286" s="46"/>
      <c r="BK286" s="25" t="s">
        <v>117</v>
      </c>
      <c r="BL286" s="46"/>
      <c r="BM286" s="25" t="s">
        <v>117</v>
      </c>
      <c r="BN286" s="46"/>
      <c r="BO286" s="25" t="s">
        <v>117</v>
      </c>
      <c r="BP286" s="46"/>
      <c r="BQ286" s="25" t="s">
        <v>117</v>
      </c>
      <c r="BR286" s="46"/>
      <c r="BS286" s="25" t="s">
        <v>117</v>
      </c>
      <c r="BT286" s="46"/>
      <c r="BU286" s="25" t="s">
        <v>117</v>
      </c>
      <c r="BV286" s="46"/>
      <c r="BW286" s="25" t="s">
        <v>117</v>
      </c>
      <c r="BX286" s="46"/>
      <c r="BY286" s="25" t="s">
        <v>117</v>
      </c>
      <c r="BZ286" s="46"/>
      <c r="CA286" s="25" t="s">
        <v>117</v>
      </c>
      <c r="CB286" s="46"/>
      <c r="CC286" s="25" t="s">
        <v>117</v>
      </c>
      <c r="CD286" s="46"/>
      <c r="CE286" s="25" t="s">
        <v>117</v>
      </c>
      <c r="CF286" s="46"/>
      <c r="CG286" s="25" t="s">
        <v>117</v>
      </c>
      <c r="CH286" s="46"/>
      <c r="CI286" s="25"/>
      <c r="CJ286" s="46"/>
      <c r="CK286" s="48" t="s">
        <v>117</v>
      </c>
      <c r="CL286" s="46"/>
      <c r="CM286" s="48" t="s">
        <v>117</v>
      </c>
      <c r="CN286" s="46"/>
      <c r="CO286" s="25" t="s">
        <v>117</v>
      </c>
      <c r="CP286" s="30">
        <v>400</v>
      </c>
      <c r="CQ286" s="23" t="s">
        <v>115</v>
      </c>
      <c r="CR286" s="32"/>
      <c r="CS286" s="23" t="s">
        <v>117</v>
      </c>
      <c r="CT286" s="32"/>
      <c r="CU286" s="23" t="s">
        <v>117</v>
      </c>
      <c r="CV286" s="32"/>
      <c r="CW286" s="23" t="s">
        <v>117</v>
      </c>
      <c r="CX286" s="32"/>
      <c r="CY286" s="25" t="s">
        <v>117</v>
      </c>
      <c r="CZ286" s="32"/>
      <c r="DA286" s="25" t="s">
        <v>117</v>
      </c>
      <c r="DB286" s="33" t="s">
        <v>120</v>
      </c>
      <c r="DC286" s="25" t="s">
        <v>116</v>
      </c>
      <c r="DD286" s="34">
        <f>ROUND(0.075*SUM(AD286,AF286,AH286,AJ286,AL286,AN286,AP286,AR286,AT286,AV286,AX286,AZ286,BB286,BR286,BT286,BV286,BX286,BZ286,CB286,CD286,CF286,CJ286,CL286,CN286,CP286,CR286,CT286,CV286,CX286,CZ286),0)</f>
        <v>503</v>
      </c>
      <c r="DE286" t="s">
        <v>2390</v>
      </c>
      <c r="DF286" t="str">
        <f>A286&amp;"#"&amp;C286&amp;"#"&amp;D286</f>
        <v>South Africa#Company#South Africa Pty Ltd</v>
      </c>
      <c r="DG286" t="b">
        <f>DE286=DF286</f>
        <v>1</v>
      </c>
    </row>
    <row r="287" spans="1:111" ht="14.25" hidden="1" customHeight="1" x14ac:dyDescent="0.35">
      <c r="A287" s="184" t="s">
        <v>2391</v>
      </c>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c r="AA287" s="184"/>
      <c r="AB287" s="184"/>
      <c r="AC287" s="184"/>
      <c r="AD287" s="184"/>
      <c r="AE287" s="184"/>
      <c r="AF287" s="184"/>
      <c r="AG287" s="184"/>
      <c r="AH287" s="184"/>
      <c r="AI287" s="184"/>
      <c r="AJ287" s="184"/>
      <c r="AK287" s="184"/>
      <c r="AL287" s="184"/>
      <c r="AM287" s="184"/>
      <c r="AN287" s="184"/>
      <c r="AO287" s="184"/>
      <c r="AP287" s="184"/>
      <c r="AQ287" s="184"/>
      <c r="AR287" s="184"/>
      <c r="AS287" s="184"/>
      <c r="AT287" s="184"/>
      <c r="AU287" s="184"/>
      <c r="AV287" s="184"/>
      <c r="AW287" s="184"/>
      <c r="AX287" s="184"/>
      <c r="AY287" s="184"/>
      <c r="AZ287" s="184"/>
      <c r="BA287" s="184"/>
      <c r="BB287" s="184"/>
      <c r="BC287" s="184"/>
      <c r="BD287" s="184"/>
      <c r="BE287" s="184"/>
      <c r="BF287" s="184"/>
      <c r="BG287" s="184"/>
      <c r="BH287" s="184"/>
      <c r="BI287" s="184"/>
      <c r="BJ287" s="184"/>
      <c r="BK287" s="184"/>
      <c r="BL287" s="184"/>
      <c r="BM287" s="184"/>
      <c r="BN287" s="184"/>
      <c r="BO287" s="184"/>
      <c r="BP287" s="184"/>
      <c r="BQ287" s="184"/>
      <c r="BR287" s="184"/>
      <c r="BS287" s="184"/>
      <c r="BT287" s="184"/>
      <c r="BU287" s="184"/>
      <c r="BV287" s="184"/>
      <c r="BW287" s="184"/>
      <c r="BX287" s="184"/>
      <c r="BY287" s="184"/>
      <c r="BZ287" s="184"/>
      <c r="CA287" s="184"/>
      <c r="CB287" s="184"/>
      <c r="CC287" s="184"/>
      <c r="CD287" s="184"/>
      <c r="CE287" s="184"/>
      <c r="CF287" s="184"/>
      <c r="CG287" s="184"/>
      <c r="CH287" s="184"/>
      <c r="CI287" s="184"/>
      <c r="CJ287" s="184"/>
      <c r="CK287" s="184"/>
      <c r="CL287" s="184"/>
      <c r="CM287" s="184"/>
      <c r="CN287" s="184"/>
      <c r="CO287" s="184"/>
      <c r="CP287" s="184"/>
      <c r="CQ287" s="184"/>
      <c r="CR287" s="184"/>
      <c r="CS287" s="184"/>
      <c r="CT287" s="184"/>
      <c r="CU287" s="184"/>
      <c r="CV287" s="184"/>
      <c r="CW287" s="184"/>
      <c r="CX287" s="184"/>
      <c r="CY287" s="184"/>
      <c r="CZ287" s="184"/>
      <c r="DA287" s="184"/>
      <c r="DB287" s="184"/>
      <c r="DC287" s="184"/>
      <c r="DE287" t="s">
        <v>85</v>
      </c>
      <c r="DF287" t="str">
        <f>A267&amp;"#"&amp;C267&amp;"#"&amp;D267</f>
        <v>Spain#Fund#Spain FICC</v>
      </c>
    </row>
    <row r="288" spans="1:111" ht="54" hidden="1" customHeight="1" x14ac:dyDescent="0.35">
      <c r="A288" s="42" t="s">
        <v>2392</v>
      </c>
      <c r="B288" s="42" t="s">
        <v>2393</v>
      </c>
      <c r="C288" s="42" t="s">
        <v>88</v>
      </c>
      <c r="D288" s="43" t="s">
        <v>2394</v>
      </c>
      <c r="E288" s="42" t="s">
        <v>90</v>
      </c>
      <c r="F288" s="20" t="s">
        <v>143</v>
      </c>
      <c r="G288" s="20" t="s">
        <v>2395</v>
      </c>
      <c r="H288" s="20" t="s">
        <v>93</v>
      </c>
      <c r="I288" s="20" t="s">
        <v>94</v>
      </c>
      <c r="J288" s="20" t="s">
        <v>2396</v>
      </c>
      <c r="K288" s="20" t="s">
        <v>96</v>
      </c>
      <c r="L288" s="20" t="s">
        <v>97</v>
      </c>
      <c r="M288" s="20" t="s">
        <v>98</v>
      </c>
      <c r="N288" s="20" t="s">
        <v>2397</v>
      </c>
      <c r="O288" s="20" t="s">
        <v>100</v>
      </c>
      <c r="P288" s="20" t="s">
        <v>101</v>
      </c>
      <c r="Q288" s="20" t="s">
        <v>102</v>
      </c>
      <c r="R288" s="20" t="s">
        <v>103</v>
      </c>
      <c r="S288" s="20" t="s">
        <v>104</v>
      </c>
      <c r="T288" s="20" t="s">
        <v>105</v>
      </c>
      <c r="U288" s="20" t="s">
        <v>106</v>
      </c>
      <c r="V288" s="21" t="s">
        <v>518</v>
      </c>
      <c r="W288" s="21" t="s">
        <v>203</v>
      </c>
      <c r="X288" s="21" t="s">
        <v>109</v>
      </c>
      <c r="Y288" s="21" t="s">
        <v>2398</v>
      </c>
      <c r="Z288" s="21" t="s">
        <v>256</v>
      </c>
      <c r="AA288" s="21" t="s">
        <v>112</v>
      </c>
      <c r="AB288" s="21" t="s">
        <v>2399</v>
      </c>
      <c r="AC288" s="21" t="s">
        <v>2400</v>
      </c>
      <c r="AD288" s="47">
        <v>4000</v>
      </c>
      <c r="AE288" s="23" t="s">
        <v>115</v>
      </c>
      <c r="AF288" s="44"/>
      <c r="AG288" s="23" t="s">
        <v>116</v>
      </c>
      <c r="AH288" s="44"/>
      <c r="AI288" s="25" t="s">
        <v>117</v>
      </c>
      <c r="AJ288" s="44"/>
      <c r="AK288" s="25" t="s">
        <v>117</v>
      </c>
      <c r="AL288" s="22">
        <v>0</v>
      </c>
      <c r="AM288" s="23" t="s">
        <v>115</v>
      </c>
      <c r="AN288" s="44"/>
      <c r="AO288" s="25" t="s">
        <v>117</v>
      </c>
      <c r="AP288" s="47">
        <v>3200</v>
      </c>
      <c r="AQ288" s="23" t="s">
        <v>115</v>
      </c>
      <c r="AR288" s="44"/>
      <c r="AS288" s="23" t="s">
        <v>117</v>
      </c>
      <c r="AT288" s="45" t="s">
        <v>118</v>
      </c>
      <c r="AU288" s="23" t="s">
        <v>116</v>
      </c>
      <c r="AV288" s="45" t="s">
        <v>118</v>
      </c>
      <c r="AW288" s="23" t="s">
        <v>115</v>
      </c>
      <c r="AX288" s="45" t="s">
        <v>118</v>
      </c>
      <c r="AY288" s="23" t="s">
        <v>115</v>
      </c>
      <c r="AZ288" s="45" t="s">
        <v>118</v>
      </c>
      <c r="BA288" s="23" t="s">
        <v>115</v>
      </c>
      <c r="BB288" s="46"/>
      <c r="BC288" s="23" t="s">
        <v>115</v>
      </c>
      <c r="BD288" s="45" t="s">
        <v>118</v>
      </c>
      <c r="BE288" s="23" t="s">
        <v>115</v>
      </c>
      <c r="BF288" s="45" t="s">
        <v>118</v>
      </c>
      <c r="BG288" s="23" t="s">
        <v>115</v>
      </c>
      <c r="BH288" s="46"/>
      <c r="BI288" s="25" t="s">
        <v>117</v>
      </c>
      <c r="BJ288" s="46"/>
      <c r="BK288" s="25" t="s">
        <v>117</v>
      </c>
      <c r="BL288" s="46"/>
      <c r="BM288" s="25" t="s">
        <v>117</v>
      </c>
      <c r="BN288" s="46"/>
      <c r="BO288" s="25" t="s">
        <v>117</v>
      </c>
      <c r="BP288" s="46"/>
      <c r="BQ288" s="25" t="s">
        <v>117</v>
      </c>
      <c r="BR288" s="46"/>
      <c r="BS288" s="25" t="s">
        <v>117</v>
      </c>
      <c r="BT288" s="46"/>
      <c r="BU288" s="25" t="s">
        <v>117</v>
      </c>
      <c r="BV288" s="46"/>
      <c r="BW288" s="25" t="s">
        <v>117</v>
      </c>
      <c r="BX288" s="46"/>
      <c r="BY288" s="25" t="s">
        <v>117</v>
      </c>
      <c r="BZ288" s="46"/>
      <c r="CA288" s="25" t="s">
        <v>117</v>
      </c>
      <c r="CB288" s="46"/>
      <c r="CC288" s="25" t="s">
        <v>117</v>
      </c>
      <c r="CD288" s="46"/>
      <c r="CE288" s="25" t="s">
        <v>117</v>
      </c>
      <c r="CF288" s="46"/>
      <c r="CG288" s="25" t="s">
        <v>117</v>
      </c>
      <c r="CH288" s="46"/>
      <c r="CI288" s="25"/>
      <c r="CJ288" s="46"/>
      <c r="CK288" s="48" t="s">
        <v>117</v>
      </c>
      <c r="CL288" s="46"/>
      <c r="CM288" s="48" t="s">
        <v>117</v>
      </c>
      <c r="CN288" s="46"/>
      <c r="CO288" s="25" t="s">
        <v>117</v>
      </c>
      <c r="CP288" s="30">
        <v>400</v>
      </c>
      <c r="CQ288" s="23" t="s">
        <v>115</v>
      </c>
      <c r="CR288" s="32"/>
      <c r="CS288" s="23" t="s">
        <v>117</v>
      </c>
      <c r="CT288" s="32"/>
      <c r="CU288" s="23" t="s">
        <v>117</v>
      </c>
      <c r="CV288" s="32"/>
      <c r="CW288" s="23" t="s">
        <v>117</v>
      </c>
      <c r="CX288" s="32"/>
      <c r="CY288" s="25" t="s">
        <v>117</v>
      </c>
      <c r="CZ288" s="32"/>
      <c r="DA288" s="25" t="s">
        <v>117</v>
      </c>
      <c r="DB288" s="33" t="s">
        <v>120</v>
      </c>
      <c r="DC288" s="25" t="s">
        <v>116</v>
      </c>
      <c r="DD288" s="34">
        <f>ROUND(0.075*SUM(AD288,AF288,AH288,AJ288,AL288,AN288,AP288,AR288,AT288,AV288,AX288,AZ288,BB288,BR288,BT288,BV288,BX288,BZ288,CB288,CD288,CF288,CJ288,CL288,CN288,CP288,CR288,CT288,CV288,CX288,CZ288),0)</f>
        <v>570</v>
      </c>
      <c r="DE288" t="s">
        <v>2401</v>
      </c>
      <c r="DF288" t="str">
        <f>A288&amp;"#"&amp;C288&amp;"#"&amp;D288</f>
        <v>Vietnam#Company#Vietnam Ltd</v>
      </c>
      <c r="DG288" t="b">
        <f>DE288=DF288</f>
        <v>1</v>
      </c>
    </row>
  </sheetData>
  <autoFilter ref="A4:DG288" xr:uid="{00000000-0001-0000-0000-000000000000}">
    <filterColumn colId="2">
      <filters>
        <filter val="Fund"/>
      </filters>
    </filterColumn>
  </autoFilter>
  <mergeCells count="52">
    <mergeCell ref="A279:DC279"/>
    <mergeCell ref="A285:DC285"/>
    <mergeCell ref="A287:DC287"/>
    <mergeCell ref="A241:DC241"/>
    <mergeCell ref="A253:DC253"/>
    <mergeCell ref="A261:DC261"/>
    <mergeCell ref="A268:DC268"/>
    <mergeCell ref="A274:DC274"/>
    <mergeCell ref="A226:DC226"/>
    <mergeCell ref="A228:DC228"/>
    <mergeCell ref="A234:DC234"/>
    <mergeCell ref="A236:DC236"/>
    <mergeCell ref="A238:DC238"/>
    <mergeCell ref="A202:DC202"/>
    <mergeCell ref="A206:DC206"/>
    <mergeCell ref="A213:DC213"/>
    <mergeCell ref="A215:DC215"/>
    <mergeCell ref="A223:DC223"/>
    <mergeCell ref="A159:DC159"/>
    <mergeCell ref="A166:DC166"/>
    <mergeCell ref="A168:DC168"/>
    <mergeCell ref="A181:DC181"/>
    <mergeCell ref="A191:DC191"/>
    <mergeCell ref="A128:DC128"/>
    <mergeCell ref="A134:DC134"/>
    <mergeCell ref="A137:DC137"/>
    <mergeCell ref="A144:DC144"/>
    <mergeCell ref="A157:DC157"/>
    <mergeCell ref="A77:DC77"/>
    <mergeCell ref="A89:DC89"/>
    <mergeCell ref="A96:DC96"/>
    <mergeCell ref="A109:DC109"/>
    <mergeCell ref="A117:DC117"/>
    <mergeCell ref="A37:DC37"/>
    <mergeCell ref="A48:DC48"/>
    <mergeCell ref="A50:DC50"/>
    <mergeCell ref="A64:DC64"/>
    <mergeCell ref="A74:DC74"/>
    <mergeCell ref="A5:DC5"/>
    <mergeCell ref="A13:DC13"/>
    <mergeCell ref="A16:DC16"/>
    <mergeCell ref="A20:DC20"/>
    <mergeCell ref="A27:DC27"/>
    <mergeCell ref="A1:DC1"/>
    <mergeCell ref="A2:DC2"/>
    <mergeCell ref="A3:E3"/>
    <mergeCell ref="F3:U3"/>
    <mergeCell ref="V3:AC3"/>
    <mergeCell ref="AD3:AO3"/>
    <mergeCell ref="AP3:BC3"/>
    <mergeCell ref="BD3:BF3"/>
    <mergeCell ref="CP3:CW3"/>
  </mergeCells>
  <pageMargins left="0.75" right="0.75" top="1" bottom="1"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32D2-C26E-4A6D-A6AB-1D5617CEDEDE}">
  <dimension ref="A1:B7"/>
  <sheetViews>
    <sheetView workbookViewId="0">
      <selection activeCell="D1" sqref="D1"/>
    </sheetView>
  </sheetViews>
  <sheetFormatPr defaultRowHeight="14.5" x14ac:dyDescent="0.35"/>
  <cols>
    <col min="1" max="1" width="57" bestFit="1" customWidth="1"/>
    <col min="4" max="4" width="22.90625" bestFit="1" customWidth="1"/>
    <col min="5" max="5" width="13.6328125" bestFit="1" customWidth="1"/>
    <col min="6" max="6" width="5.54296875" bestFit="1" customWidth="1"/>
    <col min="7" max="7" width="31.81640625" bestFit="1" customWidth="1"/>
  </cols>
  <sheetData>
    <row r="1" spans="1:2" x14ac:dyDescent="0.35">
      <c r="A1" t="s">
        <v>2402</v>
      </c>
      <c r="B1">
        <v>37</v>
      </c>
    </row>
    <row r="2" spans="1:2" x14ac:dyDescent="0.35">
      <c r="A2" t="s">
        <v>2403</v>
      </c>
      <c r="B2">
        <v>62</v>
      </c>
    </row>
    <row r="3" spans="1:2" x14ac:dyDescent="0.35">
      <c r="A3" t="s">
        <v>2404</v>
      </c>
      <c r="B3">
        <v>62</v>
      </c>
    </row>
    <row r="4" spans="1:2" x14ac:dyDescent="0.35">
      <c r="A4" t="s">
        <v>2405</v>
      </c>
      <c r="B4" s="171">
        <v>120</v>
      </c>
    </row>
    <row r="5" spans="1:2" x14ac:dyDescent="0.35">
      <c r="A5" t="s">
        <v>2416</v>
      </c>
      <c r="B5" s="171">
        <v>120</v>
      </c>
    </row>
    <row r="6" spans="1:2" x14ac:dyDescent="0.35">
      <c r="A6" t="s">
        <v>2406</v>
      </c>
      <c r="B6">
        <f>B4*12</f>
        <v>1440</v>
      </c>
    </row>
    <row r="7" spans="1:2" x14ac:dyDescent="0.35">
      <c r="A7" t="s">
        <v>2417</v>
      </c>
      <c r="B7" s="1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FBFD-6532-4605-A0ED-F6BED3680974}">
  <dimension ref="A1:C38"/>
  <sheetViews>
    <sheetView workbookViewId="0">
      <selection activeCell="C1" sqref="C1:C38"/>
    </sheetView>
  </sheetViews>
  <sheetFormatPr defaultRowHeight="14.5" x14ac:dyDescent="0.35"/>
  <cols>
    <col min="1" max="1" width="17.453125" bestFit="1" customWidth="1"/>
    <col min="2" max="2" width="18.81640625" bestFit="1" customWidth="1"/>
    <col min="3" max="3" width="18.81640625" customWidth="1"/>
  </cols>
  <sheetData>
    <row r="1" spans="1:3" x14ac:dyDescent="0.35">
      <c r="A1" s="153" t="s">
        <v>2407</v>
      </c>
      <c r="B1" s="173" t="s">
        <v>2418</v>
      </c>
      <c r="C1" s="152">
        <f>COUNTA(A2:A38)</f>
        <v>37</v>
      </c>
    </row>
    <row r="2" spans="1:3" x14ac:dyDescent="0.35">
      <c r="A2" t="s">
        <v>86</v>
      </c>
      <c r="B2" t="s">
        <v>2419</v>
      </c>
    </row>
    <row r="3" spans="1:3" x14ac:dyDescent="0.35">
      <c r="A3" t="s">
        <v>196</v>
      </c>
      <c r="B3" t="s">
        <v>2420</v>
      </c>
    </row>
    <row r="4" spans="1:3" x14ac:dyDescent="0.35">
      <c r="A4" t="s">
        <v>217</v>
      </c>
      <c r="B4" t="s">
        <v>2421</v>
      </c>
    </row>
    <row r="5" spans="1:3" x14ac:dyDescent="0.35">
      <c r="A5" t="s">
        <v>313</v>
      </c>
      <c r="B5" t="s">
        <v>2422</v>
      </c>
    </row>
    <row r="6" spans="1:3" x14ac:dyDescent="0.35">
      <c r="A6" t="s">
        <v>381</v>
      </c>
      <c r="B6" t="s">
        <v>2423</v>
      </c>
    </row>
    <row r="7" spans="1:3" x14ac:dyDescent="0.35">
      <c r="A7" t="s">
        <v>459</v>
      </c>
      <c r="B7" t="s">
        <v>2424</v>
      </c>
    </row>
    <row r="8" spans="1:3" x14ac:dyDescent="0.35">
      <c r="A8" t="s">
        <v>482</v>
      </c>
      <c r="B8" t="s">
        <v>2425</v>
      </c>
    </row>
    <row r="9" spans="1:3" x14ac:dyDescent="0.35">
      <c r="A9" t="s">
        <v>593</v>
      </c>
      <c r="B9" t="s">
        <v>2426</v>
      </c>
    </row>
    <row r="10" spans="1:3" x14ac:dyDescent="0.35">
      <c r="A10" t="s">
        <v>665</v>
      </c>
      <c r="B10" t="s">
        <v>2427</v>
      </c>
    </row>
    <row r="11" spans="1:3" x14ac:dyDescent="0.35">
      <c r="A11" t="s">
        <v>707</v>
      </c>
      <c r="B11" t="s">
        <v>2428</v>
      </c>
    </row>
    <row r="12" spans="1:3" x14ac:dyDescent="0.35">
      <c r="A12" t="s">
        <v>814</v>
      </c>
      <c r="B12" t="s">
        <v>2429</v>
      </c>
    </row>
    <row r="13" spans="1:3" x14ac:dyDescent="0.35">
      <c r="A13" t="s">
        <v>873</v>
      </c>
      <c r="B13" t="s">
        <v>2430</v>
      </c>
    </row>
    <row r="14" spans="1:3" x14ac:dyDescent="0.35">
      <c r="A14" t="s">
        <v>963</v>
      </c>
      <c r="B14" t="s">
        <v>2431</v>
      </c>
    </row>
    <row r="15" spans="1:3" x14ac:dyDescent="0.35">
      <c r="A15" t="s">
        <v>1111</v>
      </c>
      <c r="B15" t="s">
        <v>2432</v>
      </c>
    </row>
    <row r="16" spans="1:3" x14ac:dyDescent="0.35">
      <c r="A16" t="s">
        <v>1155</v>
      </c>
      <c r="B16" t="s">
        <v>2433</v>
      </c>
    </row>
    <row r="17" spans="1:2" x14ac:dyDescent="0.35">
      <c r="A17" t="s">
        <v>1178</v>
      </c>
      <c r="B17" t="s">
        <v>2434</v>
      </c>
    </row>
    <row r="18" spans="1:2" x14ac:dyDescent="0.35">
      <c r="A18" t="s">
        <v>1224</v>
      </c>
      <c r="B18" t="s">
        <v>2435</v>
      </c>
    </row>
    <row r="19" spans="1:2" x14ac:dyDescent="0.35">
      <c r="A19" t="s">
        <v>1378</v>
      </c>
      <c r="B19" t="s">
        <v>2436</v>
      </c>
    </row>
    <row r="20" spans="1:2" x14ac:dyDescent="0.35">
      <c r="A20" t="s">
        <v>1433</v>
      </c>
      <c r="B20" t="s">
        <v>2437</v>
      </c>
    </row>
    <row r="21" spans="1:2" x14ac:dyDescent="0.35">
      <c r="A21" t="s">
        <v>1445</v>
      </c>
      <c r="B21" t="s">
        <v>2438</v>
      </c>
    </row>
    <row r="22" spans="1:2" x14ac:dyDescent="0.35">
      <c r="A22" t="s">
        <v>1547</v>
      </c>
      <c r="B22" t="s">
        <v>2439</v>
      </c>
    </row>
    <row r="23" spans="1:2" x14ac:dyDescent="0.35">
      <c r="A23" t="s">
        <v>1611</v>
      </c>
      <c r="B23" t="s">
        <v>2440</v>
      </c>
    </row>
    <row r="24" spans="1:2" x14ac:dyDescent="0.35">
      <c r="A24" t="s">
        <v>1709</v>
      </c>
      <c r="B24" t="s">
        <v>2441</v>
      </c>
    </row>
    <row r="25" spans="1:2" x14ac:dyDescent="0.35">
      <c r="A25" t="s">
        <v>1751</v>
      </c>
      <c r="B25" t="s">
        <v>2442</v>
      </c>
    </row>
    <row r="26" spans="1:2" x14ac:dyDescent="0.35">
      <c r="A26" t="s">
        <v>1807</v>
      </c>
      <c r="B26" t="s">
        <v>2443</v>
      </c>
    </row>
    <row r="27" spans="1:2" x14ac:dyDescent="0.35">
      <c r="A27" t="s">
        <v>1827</v>
      </c>
      <c r="B27" t="s">
        <v>2444</v>
      </c>
    </row>
    <row r="28" spans="1:2" x14ac:dyDescent="0.35">
      <c r="A28" t="s">
        <v>1894</v>
      </c>
      <c r="B28" t="s">
        <v>2445</v>
      </c>
    </row>
    <row r="29" spans="1:2" x14ac:dyDescent="0.35">
      <c r="A29" t="s">
        <v>1919</v>
      </c>
      <c r="B29" t="s">
        <v>2446</v>
      </c>
    </row>
    <row r="30" spans="1:2" x14ac:dyDescent="0.35">
      <c r="A30" t="s">
        <v>1977</v>
      </c>
      <c r="B30" t="s">
        <v>2447</v>
      </c>
    </row>
    <row r="31" spans="1:2" x14ac:dyDescent="0.35">
      <c r="A31" t="s">
        <v>2044</v>
      </c>
      <c r="B31" t="s">
        <v>2448</v>
      </c>
    </row>
    <row r="32" spans="1:2" x14ac:dyDescent="0.35">
      <c r="A32" t="s">
        <v>2129</v>
      </c>
      <c r="B32" t="s">
        <v>2449</v>
      </c>
    </row>
    <row r="33" spans="1:2" x14ac:dyDescent="0.35">
      <c r="A33" t="s">
        <v>2175</v>
      </c>
      <c r="B33" t="s">
        <v>2450</v>
      </c>
    </row>
    <row r="34" spans="1:2" x14ac:dyDescent="0.35">
      <c r="A34" t="s">
        <v>2227</v>
      </c>
      <c r="B34" t="s">
        <v>2451</v>
      </c>
    </row>
    <row r="35" spans="1:2" x14ac:dyDescent="0.35">
      <c r="A35" t="s">
        <v>2282</v>
      </c>
      <c r="B35" t="s">
        <v>2452</v>
      </c>
    </row>
    <row r="36" spans="1:2" x14ac:dyDescent="0.35">
      <c r="A36" t="s">
        <v>2331</v>
      </c>
      <c r="B36" t="s">
        <v>2453</v>
      </c>
    </row>
    <row r="37" spans="1:2" x14ac:dyDescent="0.35">
      <c r="A37" t="s">
        <v>2381</v>
      </c>
      <c r="B37" t="s">
        <v>2454</v>
      </c>
    </row>
    <row r="38" spans="1:2" x14ac:dyDescent="0.35">
      <c r="A38" t="s">
        <v>2392</v>
      </c>
      <c r="B38" t="s">
        <v>2455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04C0-E84F-4D32-A697-1B3301DA2CEA}">
  <dimension ref="A1:D63"/>
  <sheetViews>
    <sheetView workbookViewId="0">
      <selection activeCell="C1" sqref="C1:C63"/>
    </sheetView>
  </sheetViews>
  <sheetFormatPr defaultRowHeight="14.5" x14ac:dyDescent="0.35"/>
  <cols>
    <col min="1" max="1" width="17.453125" bestFit="1" customWidth="1"/>
    <col min="2" max="2" width="16.453125" bestFit="1" customWidth="1"/>
    <col min="3" max="3" width="16.453125" customWidth="1"/>
  </cols>
  <sheetData>
    <row r="1" spans="1:4" x14ac:dyDescent="0.35">
      <c r="A1" s="153" t="s">
        <v>11</v>
      </c>
      <c r="B1" s="153" t="s">
        <v>13</v>
      </c>
      <c r="C1" s="153" t="s">
        <v>2456</v>
      </c>
      <c r="D1" s="152">
        <f>COUNTA(B2:B63)</f>
        <v>62</v>
      </c>
    </row>
    <row r="2" spans="1:4" x14ac:dyDescent="0.35">
      <c r="A2" t="s">
        <v>86</v>
      </c>
      <c r="B2" t="s">
        <v>88</v>
      </c>
      <c r="C2" t="s">
        <v>2457</v>
      </c>
    </row>
    <row r="3" spans="1:4" x14ac:dyDescent="0.35">
      <c r="A3" t="s">
        <v>86</v>
      </c>
      <c r="B3" t="s">
        <v>122</v>
      </c>
      <c r="C3" t="s">
        <v>2458</v>
      </c>
    </row>
    <row r="4" spans="1:4" x14ac:dyDescent="0.35">
      <c r="A4" t="s">
        <v>196</v>
      </c>
      <c r="B4" t="s">
        <v>122</v>
      </c>
      <c r="C4" t="s">
        <v>2459</v>
      </c>
    </row>
    <row r="5" spans="1:4" x14ac:dyDescent="0.35">
      <c r="A5" t="s">
        <v>217</v>
      </c>
      <c r="B5" t="s">
        <v>88</v>
      </c>
      <c r="C5" t="s">
        <v>2460</v>
      </c>
    </row>
    <row r="6" spans="1:4" x14ac:dyDescent="0.35">
      <c r="A6" t="s">
        <v>313</v>
      </c>
      <c r="B6" t="s">
        <v>88</v>
      </c>
      <c r="C6" t="s">
        <v>2461</v>
      </c>
    </row>
    <row r="7" spans="1:4" x14ac:dyDescent="0.35">
      <c r="A7" t="s">
        <v>313</v>
      </c>
      <c r="B7" t="s">
        <v>122</v>
      </c>
      <c r="C7" t="s">
        <v>2462</v>
      </c>
    </row>
    <row r="8" spans="1:4" x14ac:dyDescent="0.35">
      <c r="A8" t="s">
        <v>381</v>
      </c>
      <c r="B8" t="s">
        <v>88</v>
      </c>
      <c r="C8" t="s">
        <v>2463</v>
      </c>
    </row>
    <row r="9" spans="1:4" x14ac:dyDescent="0.35">
      <c r="A9" t="s">
        <v>381</v>
      </c>
      <c r="B9" t="s">
        <v>122</v>
      </c>
      <c r="C9" t="s">
        <v>2464</v>
      </c>
    </row>
    <row r="10" spans="1:4" x14ac:dyDescent="0.35">
      <c r="A10" t="s">
        <v>459</v>
      </c>
      <c r="B10" t="s">
        <v>460</v>
      </c>
      <c r="C10" t="s">
        <v>2465</v>
      </c>
    </row>
    <row r="11" spans="1:4" x14ac:dyDescent="0.35">
      <c r="A11" t="s">
        <v>482</v>
      </c>
      <c r="B11" t="s">
        <v>88</v>
      </c>
      <c r="C11" t="s">
        <v>2466</v>
      </c>
    </row>
    <row r="12" spans="1:4" x14ac:dyDescent="0.35">
      <c r="A12" t="s">
        <v>482</v>
      </c>
      <c r="B12" t="s">
        <v>122</v>
      </c>
      <c r="C12" t="s">
        <v>2467</v>
      </c>
    </row>
    <row r="13" spans="1:4" x14ac:dyDescent="0.35">
      <c r="A13" t="s">
        <v>593</v>
      </c>
      <c r="B13" t="s">
        <v>88</v>
      </c>
      <c r="C13" t="s">
        <v>2468</v>
      </c>
    </row>
    <row r="14" spans="1:4" x14ac:dyDescent="0.35">
      <c r="A14" t="s">
        <v>593</v>
      </c>
      <c r="B14" t="s">
        <v>122</v>
      </c>
      <c r="C14" t="s">
        <v>2469</v>
      </c>
    </row>
    <row r="15" spans="1:4" x14ac:dyDescent="0.35">
      <c r="A15" t="s">
        <v>665</v>
      </c>
      <c r="B15" t="s">
        <v>88</v>
      </c>
      <c r="C15" t="s">
        <v>2470</v>
      </c>
    </row>
    <row r="16" spans="1:4" x14ac:dyDescent="0.35">
      <c r="A16" t="s">
        <v>707</v>
      </c>
      <c r="B16" t="s">
        <v>88</v>
      </c>
      <c r="C16" t="s">
        <v>2471</v>
      </c>
    </row>
    <row r="17" spans="1:3" x14ac:dyDescent="0.35">
      <c r="A17" t="s">
        <v>707</v>
      </c>
      <c r="B17" t="s">
        <v>746</v>
      </c>
      <c r="C17" t="s">
        <v>2472</v>
      </c>
    </row>
    <row r="18" spans="1:3" x14ac:dyDescent="0.35">
      <c r="A18" t="s">
        <v>814</v>
      </c>
      <c r="B18" t="s">
        <v>88</v>
      </c>
      <c r="C18" t="s">
        <v>2473</v>
      </c>
    </row>
    <row r="19" spans="1:3" x14ac:dyDescent="0.35">
      <c r="A19" t="s">
        <v>814</v>
      </c>
      <c r="B19" t="s">
        <v>122</v>
      </c>
      <c r="C19" t="s">
        <v>2474</v>
      </c>
    </row>
    <row r="20" spans="1:3" x14ac:dyDescent="0.35">
      <c r="A20" t="s">
        <v>873</v>
      </c>
      <c r="B20" t="s">
        <v>88</v>
      </c>
      <c r="C20" t="s">
        <v>2475</v>
      </c>
    </row>
    <row r="21" spans="1:3" x14ac:dyDescent="0.35">
      <c r="A21" t="s">
        <v>963</v>
      </c>
      <c r="B21" t="s">
        <v>88</v>
      </c>
      <c r="C21" t="s">
        <v>2409</v>
      </c>
    </row>
    <row r="22" spans="1:3" x14ac:dyDescent="0.35">
      <c r="A22" t="s">
        <v>963</v>
      </c>
      <c r="B22" t="s">
        <v>746</v>
      </c>
      <c r="C22" t="s">
        <v>2415</v>
      </c>
    </row>
    <row r="23" spans="1:3" x14ac:dyDescent="0.35">
      <c r="A23" t="s">
        <v>1111</v>
      </c>
      <c r="B23" t="s">
        <v>88</v>
      </c>
      <c r="C23" t="s">
        <v>2476</v>
      </c>
    </row>
    <row r="24" spans="1:3" x14ac:dyDescent="0.35">
      <c r="A24" t="s">
        <v>1155</v>
      </c>
      <c r="B24" t="s">
        <v>88</v>
      </c>
      <c r="C24" t="s">
        <v>2477</v>
      </c>
    </row>
    <row r="25" spans="1:3" x14ac:dyDescent="0.35">
      <c r="A25" t="s">
        <v>1178</v>
      </c>
      <c r="B25" t="s">
        <v>88</v>
      </c>
      <c r="C25" t="s">
        <v>2478</v>
      </c>
    </row>
    <row r="26" spans="1:3" x14ac:dyDescent="0.35">
      <c r="A26" t="s">
        <v>1224</v>
      </c>
      <c r="B26" t="s">
        <v>88</v>
      </c>
      <c r="C26" t="s">
        <v>2479</v>
      </c>
    </row>
    <row r="27" spans="1:3" x14ac:dyDescent="0.35">
      <c r="A27" t="s">
        <v>1224</v>
      </c>
      <c r="B27" t="s">
        <v>122</v>
      </c>
      <c r="C27" t="s">
        <v>2480</v>
      </c>
    </row>
    <row r="28" spans="1:3" x14ac:dyDescent="0.35">
      <c r="A28" t="s">
        <v>1378</v>
      </c>
      <c r="B28" t="s">
        <v>88</v>
      </c>
      <c r="C28" t="s">
        <v>2481</v>
      </c>
    </row>
    <row r="29" spans="1:3" x14ac:dyDescent="0.35">
      <c r="A29" t="s">
        <v>1433</v>
      </c>
      <c r="B29" t="s">
        <v>88</v>
      </c>
      <c r="C29" t="s">
        <v>2482</v>
      </c>
    </row>
    <row r="30" spans="1:3" x14ac:dyDescent="0.35">
      <c r="A30" t="s">
        <v>1445</v>
      </c>
      <c r="B30" t="s">
        <v>88</v>
      </c>
      <c r="C30" t="s">
        <v>2483</v>
      </c>
    </row>
    <row r="31" spans="1:3" x14ac:dyDescent="0.35">
      <c r="A31" t="s">
        <v>1547</v>
      </c>
      <c r="B31" t="s">
        <v>88</v>
      </c>
      <c r="C31" t="s">
        <v>2484</v>
      </c>
    </row>
    <row r="32" spans="1:3" x14ac:dyDescent="0.35">
      <c r="A32" t="s">
        <v>1547</v>
      </c>
      <c r="B32" t="s">
        <v>122</v>
      </c>
      <c r="C32" t="s">
        <v>2485</v>
      </c>
    </row>
    <row r="33" spans="1:3" x14ac:dyDescent="0.35">
      <c r="A33" t="s">
        <v>1611</v>
      </c>
      <c r="B33" t="s">
        <v>88</v>
      </c>
      <c r="C33" t="s">
        <v>2486</v>
      </c>
    </row>
    <row r="34" spans="1:3" x14ac:dyDescent="0.35">
      <c r="A34" t="s">
        <v>1611</v>
      </c>
      <c r="B34" t="s">
        <v>122</v>
      </c>
      <c r="C34" t="s">
        <v>2487</v>
      </c>
    </row>
    <row r="35" spans="1:3" x14ac:dyDescent="0.35">
      <c r="A35" t="s">
        <v>1611</v>
      </c>
      <c r="B35" t="s">
        <v>746</v>
      </c>
      <c r="C35" t="s">
        <v>2488</v>
      </c>
    </row>
    <row r="36" spans="1:3" x14ac:dyDescent="0.35">
      <c r="A36" t="s">
        <v>1709</v>
      </c>
      <c r="B36" t="s">
        <v>88</v>
      </c>
      <c r="C36" t="s">
        <v>2489</v>
      </c>
    </row>
    <row r="37" spans="1:3" x14ac:dyDescent="0.35">
      <c r="A37" t="s">
        <v>1709</v>
      </c>
      <c r="B37" t="s">
        <v>122</v>
      </c>
      <c r="C37" t="s">
        <v>2490</v>
      </c>
    </row>
    <row r="38" spans="1:3" x14ac:dyDescent="0.35">
      <c r="A38" t="s">
        <v>1751</v>
      </c>
      <c r="B38" t="s">
        <v>88</v>
      </c>
      <c r="C38" t="s">
        <v>2491</v>
      </c>
    </row>
    <row r="39" spans="1:3" x14ac:dyDescent="0.35">
      <c r="A39" t="s">
        <v>1751</v>
      </c>
      <c r="B39" t="s">
        <v>460</v>
      </c>
      <c r="C39" t="s">
        <v>2492</v>
      </c>
    </row>
    <row r="40" spans="1:3" x14ac:dyDescent="0.35">
      <c r="A40" t="s">
        <v>1751</v>
      </c>
      <c r="B40" t="s">
        <v>746</v>
      </c>
      <c r="C40" t="s">
        <v>2493</v>
      </c>
    </row>
    <row r="41" spans="1:3" x14ac:dyDescent="0.35">
      <c r="A41" t="s">
        <v>1807</v>
      </c>
      <c r="B41" t="s">
        <v>88</v>
      </c>
      <c r="C41" t="s">
        <v>2494</v>
      </c>
    </row>
    <row r="42" spans="1:3" x14ac:dyDescent="0.35">
      <c r="A42" t="s">
        <v>1827</v>
      </c>
      <c r="B42" t="s">
        <v>88</v>
      </c>
      <c r="C42" t="s">
        <v>2495</v>
      </c>
    </row>
    <row r="43" spans="1:3" x14ac:dyDescent="0.35">
      <c r="A43" t="s">
        <v>1827</v>
      </c>
      <c r="B43" t="s">
        <v>122</v>
      </c>
      <c r="C43" t="s">
        <v>2496</v>
      </c>
    </row>
    <row r="44" spans="1:3" x14ac:dyDescent="0.35">
      <c r="A44" t="s">
        <v>1827</v>
      </c>
      <c r="B44" t="s">
        <v>460</v>
      </c>
      <c r="C44" t="s">
        <v>2497</v>
      </c>
    </row>
    <row r="45" spans="1:3" x14ac:dyDescent="0.35">
      <c r="A45" t="s">
        <v>1894</v>
      </c>
      <c r="B45" t="s">
        <v>88</v>
      </c>
      <c r="C45" t="s">
        <v>2498</v>
      </c>
    </row>
    <row r="46" spans="1:3" x14ac:dyDescent="0.35">
      <c r="A46" t="s">
        <v>1894</v>
      </c>
      <c r="B46" t="s">
        <v>746</v>
      </c>
      <c r="C46" t="s">
        <v>2499</v>
      </c>
    </row>
    <row r="47" spans="1:3" x14ac:dyDescent="0.35">
      <c r="A47" t="s">
        <v>1919</v>
      </c>
      <c r="B47" t="s">
        <v>88</v>
      </c>
      <c r="C47" t="s">
        <v>2500</v>
      </c>
    </row>
    <row r="48" spans="1:3" x14ac:dyDescent="0.35">
      <c r="A48" t="s">
        <v>1977</v>
      </c>
      <c r="B48" t="s">
        <v>88</v>
      </c>
      <c r="C48" t="s">
        <v>2501</v>
      </c>
    </row>
    <row r="49" spans="1:3" x14ac:dyDescent="0.35">
      <c r="A49" t="s">
        <v>2044</v>
      </c>
      <c r="B49" t="s">
        <v>88</v>
      </c>
      <c r="C49" t="s">
        <v>2502</v>
      </c>
    </row>
    <row r="50" spans="1:3" x14ac:dyDescent="0.35">
      <c r="A50" t="s">
        <v>2044</v>
      </c>
      <c r="B50" t="s">
        <v>460</v>
      </c>
      <c r="C50" t="s">
        <v>2503</v>
      </c>
    </row>
    <row r="51" spans="1:3" x14ac:dyDescent="0.35">
      <c r="A51" t="s">
        <v>2044</v>
      </c>
      <c r="B51" t="s">
        <v>122</v>
      </c>
      <c r="C51" t="s">
        <v>2504</v>
      </c>
    </row>
    <row r="52" spans="1:3" x14ac:dyDescent="0.35">
      <c r="A52" t="s">
        <v>2129</v>
      </c>
      <c r="B52" t="s">
        <v>88</v>
      </c>
      <c r="C52" t="s">
        <v>2505</v>
      </c>
    </row>
    <row r="53" spans="1:3" x14ac:dyDescent="0.35">
      <c r="A53" t="s">
        <v>2129</v>
      </c>
      <c r="B53" t="s">
        <v>122</v>
      </c>
      <c r="C53" t="s">
        <v>2506</v>
      </c>
    </row>
    <row r="54" spans="1:3" x14ac:dyDescent="0.35">
      <c r="A54" t="s">
        <v>2175</v>
      </c>
      <c r="B54" t="s">
        <v>88</v>
      </c>
      <c r="C54" t="s">
        <v>2507</v>
      </c>
    </row>
    <row r="55" spans="1:3" x14ac:dyDescent="0.35">
      <c r="A55" t="s">
        <v>2227</v>
      </c>
      <c r="B55" t="s">
        <v>88</v>
      </c>
      <c r="C55" t="s">
        <v>2508</v>
      </c>
    </row>
    <row r="56" spans="1:3" x14ac:dyDescent="0.35">
      <c r="A56" t="s">
        <v>2227</v>
      </c>
      <c r="B56" t="s">
        <v>122</v>
      </c>
      <c r="C56" t="s">
        <v>2509</v>
      </c>
    </row>
    <row r="57" spans="1:3" x14ac:dyDescent="0.35">
      <c r="A57" t="s">
        <v>2282</v>
      </c>
      <c r="B57" t="s">
        <v>88</v>
      </c>
      <c r="C57" t="s">
        <v>2510</v>
      </c>
    </row>
    <row r="58" spans="1:3" x14ac:dyDescent="0.35">
      <c r="A58" t="s">
        <v>2282</v>
      </c>
      <c r="B58" t="s">
        <v>122</v>
      </c>
      <c r="C58" t="s">
        <v>2511</v>
      </c>
    </row>
    <row r="59" spans="1:3" x14ac:dyDescent="0.35">
      <c r="A59" t="s">
        <v>2282</v>
      </c>
      <c r="B59" t="s">
        <v>460</v>
      </c>
      <c r="C59" t="s">
        <v>2512</v>
      </c>
    </row>
    <row r="60" spans="1:3" x14ac:dyDescent="0.35">
      <c r="A60" t="s">
        <v>2331</v>
      </c>
      <c r="B60" t="s">
        <v>88</v>
      </c>
      <c r="C60" t="s">
        <v>2513</v>
      </c>
    </row>
    <row r="61" spans="1:3" x14ac:dyDescent="0.35">
      <c r="A61" t="s">
        <v>2331</v>
      </c>
      <c r="B61" t="s">
        <v>122</v>
      </c>
      <c r="C61" t="s">
        <v>2514</v>
      </c>
    </row>
    <row r="62" spans="1:3" x14ac:dyDescent="0.35">
      <c r="A62" t="s">
        <v>2381</v>
      </c>
      <c r="B62" t="s">
        <v>88</v>
      </c>
      <c r="C62" t="s">
        <v>2515</v>
      </c>
    </row>
    <row r="63" spans="1:3" x14ac:dyDescent="0.35">
      <c r="A63" t="s">
        <v>2392</v>
      </c>
      <c r="B63" t="s">
        <v>88</v>
      </c>
      <c r="C63" t="s">
        <v>2516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E2018-0AD3-4830-94D8-AD2F3B654A9F}">
  <dimension ref="A1:E121"/>
  <sheetViews>
    <sheetView workbookViewId="0">
      <selection activeCell="D6" sqref="D6"/>
    </sheetView>
  </sheetViews>
  <sheetFormatPr defaultRowHeight="14.5" x14ac:dyDescent="0.35"/>
  <cols>
    <col min="1" max="1" width="17.81640625" bestFit="1" customWidth="1"/>
    <col min="2" max="2" width="15.81640625" bestFit="1" customWidth="1"/>
    <col min="3" max="3" width="41.7265625" bestFit="1" customWidth="1"/>
    <col min="4" max="4" width="52.36328125" bestFit="1" customWidth="1"/>
  </cols>
  <sheetData>
    <row r="1" spans="1:5" x14ac:dyDescent="0.35">
      <c r="A1" s="154" t="s">
        <v>11</v>
      </c>
      <c r="B1" s="155" t="s">
        <v>13</v>
      </c>
      <c r="C1" s="156" t="s">
        <v>14</v>
      </c>
      <c r="D1" s="155" t="s">
        <v>2517</v>
      </c>
      <c r="E1">
        <f>COUNTA(Table3[Entity / Product])</f>
        <v>120</v>
      </c>
    </row>
    <row r="2" spans="1:5" x14ac:dyDescent="0.35">
      <c r="A2" s="157" t="s">
        <v>86</v>
      </c>
      <c r="B2" s="158" t="s">
        <v>88</v>
      </c>
      <c r="C2" s="159" t="s">
        <v>89</v>
      </c>
      <c r="D2" s="174" t="s">
        <v>2530</v>
      </c>
    </row>
    <row r="3" spans="1:5" x14ac:dyDescent="0.35">
      <c r="A3" s="163" t="s">
        <v>86</v>
      </c>
      <c r="B3" s="164" t="s">
        <v>122</v>
      </c>
      <c r="C3" s="165" t="s">
        <v>123</v>
      </c>
      <c r="D3" s="174" t="s">
        <v>2531</v>
      </c>
    </row>
    <row r="4" spans="1:5" x14ac:dyDescent="0.35">
      <c r="A4" s="157" t="s">
        <v>196</v>
      </c>
      <c r="B4" s="158" t="s">
        <v>122</v>
      </c>
      <c r="C4" t="s">
        <v>2518</v>
      </c>
      <c r="D4" t="s">
        <v>2519</v>
      </c>
    </row>
    <row r="5" spans="1:5" x14ac:dyDescent="0.35">
      <c r="A5" s="163" t="s">
        <v>196</v>
      </c>
      <c r="B5" s="164" t="s">
        <v>122</v>
      </c>
      <c r="C5" s="165" t="s">
        <v>210</v>
      </c>
      <c r="D5" s="174" t="s">
        <v>2532</v>
      </c>
    </row>
    <row r="6" spans="1:5" x14ac:dyDescent="0.35">
      <c r="A6" s="157" t="s">
        <v>217</v>
      </c>
      <c r="B6" s="158" t="s">
        <v>88</v>
      </c>
      <c r="C6" s="159" t="s">
        <v>219</v>
      </c>
      <c r="D6" s="174" t="s">
        <v>2533</v>
      </c>
    </row>
    <row r="7" spans="1:5" x14ac:dyDescent="0.35">
      <c r="A7" s="157" t="s">
        <v>217</v>
      </c>
      <c r="B7" s="158" t="s">
        <v>88</v>
      </c>
      <c r="C7" s="159" t="s">
        <v>237</v>
      </c>
      <c r="D7" s="174" t="s">
        <v>2534</v>
      </c>
    </row>
    <row r="8" spans="1:5" x14ac:dyDescent="0.35">
      <c r="A8" s="163" t="s">
        <v>217</v>
      </c>
      <c r="B8" s="164" t="s">
        <v>88</v>
      </c>
      <c r="C8" s="165" t="s">
        <v>249</v>
      </c>
      <c r="D8" s="174" t="s">
        <v>2535</v>
      </c>
    </row>
    <row r="9" spans="1:5" x14ac:dyDescent="0.35">
      <c r="A9" s="157" t="s">
        <v>313</v>
      </c>
      <c r="B9" s="158" t="s">
        <v>88</v>
      </c>
      <c r="C9" s="159" t="s">
        <v>315</v>
      </c>
      <c r="D9" s="174" t="s">
        <v>2536</v>
      </c>
    </row>
    <row r="10" spans="1:5" x14ac:dyDescent="0.35">
      <c r="A10" s="163" t="s">
        <v>313</v>
      </c>
      <c r="B10" s="164" t="s">
        <v>88</v>
      </c>
      <c r="C10" s="165" t="s">
        <v>325</v>
      </c>
      <c r="D10" s="174" t="s">
        <v>2537</v>
      </c>
    </row>
    <row r="11" spans="1:5" x14ac:dyDescent="0.35">
      <c r="A11" s="157" t="s">
        <v>313</v>
      </c>
      <c r="B11" s="158" t="s">
        <v>122</v>
      </c>
      <c r="C11" s="159" t="s">
        <v>332</v>
      </c>
      <c r="D11" s="174" t="s">
        <v>2538</v>
      </c>
    </row>
    <row r="12" spans="1:5" x14ac:dyDescent="0.35">
      <c r="A12" s="157" t="s">
        <v>313</v>
      </c>
      <c r="B12" s="158" t="s">
        <v>122</v>
      </c>
      <c r="C12" s="159" t="s">
        <v>341</v>
      </c>
      <c r="D12" s="174" t="s">
        <v>2539</v>
      </c>
    </row>
    <row r="13" spans="1:5" x14ac:dyDescent="0.35">
      <c r="A13" s="157" t="s">
        <v>381</v>
      </c>
      <c r="B13" s="158" t="s">
        <v>88</v>
      </c>
      <c r="C13" s="159" t="s">
        <v>383</v>
      </c>
      <c r="D13" s="174" t="s">
        <v>2540</v>
      </c>
    </row>
    <row r="14" spans="1:5" x14ac:dyDescent="0.35">
      <c r="A14" s="163" t="s">
        <v>381</v>
      </c>
      <c r="B14" s="164" t="s">
        <v>88</v>
      </c>
      <c r="C14" s="165" t="s">
        <v>393</v>
      </c>
      <c r="D14" s="174" t="s">
        <v>2541</v>
      </c>
    </row>
    <row r="15" spans="1:5" x14ac:dyDescent="0.35">
      <c r="A15" s="157" t="s">
        <v>381</v>
      </c>
      <c r="B15" s="158" t="s">
        <v>88</v>
      </c>
      <c r="C15" s="159" t="s">
        <v>399</v>
      </c>
      <c r="D15" s="174" t="s">
        <v>2542</v>
      </c>
    </row>
    <row r="16" spans="1:5" x14ac:dyDescent="0.35">
      <c r="A16" s="163" t="s">
        <v>381</v>
      </c>
      <c r="B16" s="164" t="s">
        <v>122</v>
      </c>
      <c r="C16" s="165" t="s">
        <v>406</v>
      </c>
      <c r="D16" s="174" t="s">
        <v>2543</v>
      </c>
    </row>
    <row r="17" spans="1:4" x14ac:dyDescent="0.35">
      <c r="A17" s="157" t="s">
        <v>381</v>
      </c>
      <c r="B17" s="158" t="s">
        <v>88</v>
      </c>
      <c r="C17" s="159" t="s">
        <v>439</v>
      </c>
      <c r="D17" s="174" t="s">
        <v>2544</v>
      </c>
    </row>
    <row r="18" spans="1:4" x14ac:dyDescent="0.35">
      <c r="A18" s="157" t="s">
        <v>459</v>
      </c>
      <c r="B18" s="158" t="s">
        <v>460</v>
      </c>
      <c r="C18" s="159" t="s">
        <v>461</v>
      </c>
      <c r="D18" s="174" t="s">
        <v>2545</v>
      </c>
    </row>
    <row r="19" spans="1:4" x14ac:dyDescent="0.35">
      <c r="A19" s="157" t="s">
        <v>482</v>
      </c>
      <c r="B19" s="158" t="s">
        <v>88</v>
      </c>
      <c r="C19" s="159" t="s">
        <v>483</v>
      </c>
      <c r="D19" s="174" t="s">
        <v>2546</v>
      </c>
    </row>
    <row r="20" spans="1:4" x14ac:dyDescent="0.35">
      <c r="A20" s="163" t="s">
        <v>482</v>
      </c>
      <c r="B20" s="164" t="s">
        <v>88</v>
      </c>
      <c r="C20" s="165" t="s">
        <v>493</v>
      </c>
      <c r="D20" s="174" t="s">
        <v>2547</v>
      </c>
    </row>
    <row r="21" spans="1:4" x14ac:dyDescent="0.35">
      <c r="A21" s="163" t="s">
        <v>482</v>
      </c>
      <c r="B21" s="164" t="s">
        <v>88</v>
      </c>
      <c r="C21" s="165" t="s">
        <v>500</v>
      </c>
      <c r="D21" s="174" t="s">
        <v>2548</v>
      </c>
    </row>
    <row r="22" spans="1:4" x14ac:dyDescent="0.35">
      <c r="A22" s="157" t="s">
        <v>482</v>
      </c>
      <c r="B22" s="158" t="s">
        <v>88</v>
      </c>
      <c r="C22" s="159" t="s">
        <v>506</v>
      </c>
      <c r="D22" s="174" t="s">
        <v>2549</v>
      </c>
    </row>
    <row r="23" spans="1:4" x14ac:dyDescent="0.35">
      <c r="A23" s="163" t="s">
        <v>482</v>
      </c>
      <c r="B23" s="164" t="s">
        <v>88</v>
      </c>
      <c r="C23" s="165" t="s">
        <v>512</v>
      </c>
      <c r="D23" s="174" t="s">
        <v>2550</v>
      </c>
    </row>
    <row r="24" spans="1:4" x14ac:dyDescent="0.35">
      <c r="A24" s="157" t="s">
        <v>482</v>
      </c>
      <c r="B24" s="158" t="s">
        <v>122</v>
      </c>
      <c r="C24" s="159" t="s">
        <v>523</v>
      </c>
      <c r="D24" s="174" t="s">
        <v>2551</v>
      </c>
    </row>
    <row r="25" spans="1:4" x14ac:dyDescent="0.35">
      <c r="A25" s="157" t="s">
        <v>482</v>
      </c>
      <c r="B25" s="158" t="s">
        <v>122</v>
      </c>
      <c r="C25" s="159" t="s">
        <v>530</v>
      </c>
      <c r="D25" s="174" t="s">
        <v>2552</v>
      </c>
    </row>
    <row r="26" spans="1:4" x14ac:dyDescent="0.35">
      <c r="A26" s="157" t="s">
        <v>593</v>
      </c>
      <c r="B26" s="158" t="s">
        <v>88</v>
      </c>
      <c r="C26" s="159" t="s">
        <v>595</v>
      </c>
      <c r="D26" s="174" t="s">
        <v>2553</v>
      </c>
    </row>
    <row r="27" spans="1:4" x14ac:dyDescent="0.35">
      <c r="A27" s="157" t="s">
        <v>593</v>
      </c>
      <c r="B27" s="158" t="s">
        <v>88</v>
      </c>
      <c r="C27" s="159" t="s">
        <v>605</v>
      </c>
      <c r="D27" s="174" t="s">
        <v>2554</v>
      </c>
    </row>
    <row r="28" spans="1:4" x14ac:dyDescent="0.35">
      <c r="A28" s="163" t="s">
        <v>593</v>
      </c>
      <c r="B28" s="164" t="s">
        <v>88</v>
      </c>
      <c r="C28" s="165" t="s">
        <v>612</v>
      </c>
      <c r="D28" s="174" t="s">
        <v>2555</v>
      </c>
    </row>
    <row r="29" spans="1:4" x14ac:dyDescent="0.35">
      <c r="A29" s="163" t="s">
        <v>593</v>
      </c>
      <c r="B29" s="164" t="s">
        <v>122</v>
      </c>
      <c r="C29" s="165" t="s">
        <v>618</v>
      </c>
      <c r="D29" s="174" t="s">
        <v>2556</v>
      </c>
    </row>
    <row r="30" spans="1:4" x14ac:dyDescent="0.35">
      <c r="A30" s="163" t="s">
        <v>665</v>
      </c>
      <c r="B30" s="164" t="s">
        <v>88</v>
      </c>
      <c r="C30" s="165" t="s">
        <v>667</v>
      </c>
      <c r="D30" s="174" t="s">
        <v>2557</v>
      </c>
    </row>
    <row r="31" spans="1:4" x14ac:dyDescent="0.35">
      <c r="A31" s="163" t="s">
        <v>665</v>
      </c>
      <c r="B31" s="164" t="s">
        <v>88</v>
      </c>
      <c r="C31" s="165" t="s">
        <v>685</v>
      </c>
      <c r="D31" s="174" t="s">
        <v>2558</v>
      </c>
    </row>
    <row r="32" spans="1:4" x14ac:dyDescent="0.35">
      <c r="A32" s="157" t="s">
        <v>707</v>
      </c>
      <c r="B32" s="158" t="s">
        <v>88</v>
      </c>
      <c r="C32" s="159" t="s">
        <v>709</v>
      </c>
      <c r="D32" s="174" t="s">
        <v>2559</v>
      </c>
    </row>
    <row r="33" spans="1:4" x14ac:dyDescent="0.35">
      <c r="A33" s="157" t="s">
        <v>707</v>
      </c>
      <c r="B33" s="158" t="s">
        <v>88</v>
      </c>
      <c r="C33" s="159" t="s">
        <v>720</v>
      </c>
      <c r="D33" s="174" t="s">
        <v>2560</v>
      </c>
    </row>
    <row r="34" spans="1:4" x14ac:dyDescent="0.35">
      <c r="A34" s="157" t="s">
        <v>707</v>
      </c>
      <c r="B34" s="158" t="s">
        <v>746</v>
      </c>
      <c r="C34" s="159" t="s">
        <v>747</v>
      </c>
      <c r="D34" s="174" t="s">
        <v>2561</v>
      </c>
    </row>
    <row r="35" spans="1:4" x14ac:dyDescent="0.35">
      <c r="A35" s="157" t="s">
        <v>707</v>
      </c>
      <c r="B35" s="158" t="s">
        <v>746</v>
      </c>
      <c r="C35" t="s">
        <v>2528</v>
      </c>
      <c r="D35" t="s">
        <v>2520</v>
      </c>
    </row>
    <row r="36" spans="1:4" x14ac:dyDescent="0.35">
      <c r="A36" s="157" t="s">
        <v>707</v>
      </c>
      <c r="B36" s="158" t="s">
        <v>746</v>
      </c>
      <c r="C36" t="s">
        <v>2529</v>
      </c>
      <c r="D36" t="s">
        <v>2521</v>
      </c>
    </row>
    <row r="37" spans="1:4" x14ac:dyDescent="0.35">
      <c r="A37" s="157" t="s">
        <v>814</v>
      </c>
      <c r="B37" s="158" t="s">
        <v>88</v>
      </c>
      <c r="C37" s="159" t="s">
        <v>816</v>
      </c>
      <c r="D37" s="174" t="s">
        <v>2562</v>
      </c>
    </row>
    <row r="38" spans="1:4" x14ac:dyDescent="0.35">
      <c r="A38" s="157" t="s">
        <v>814</v>
      </c>
      <c r="B38" s="158" t="s">
        <v>122</v>
      </c>
      <c r="C38" s="160" t="s">
        <v>834</v>
      </c>
      <c r="D38" s="174" t="s">
        <v>2563</v>
      </c>
    </row>
    <row r="39" spans="1:4" x14ac:dyDescent="0.35">
      <c r="A39" s="157" t="s">
        <v>873</v>
      </c>
      <c r="B39" s="158" t="s">
        <v>88</v>
      </c>
      <c r="C39" s="159" t="s">
        <v>875</v>
      </c>
      <c r="D39" s="174" t="s">
        <v>2564</v>
      </c>
    </row>
    <row r="40" spans="1:4" x14ac:dyDescent="0.35">
      <c r="A40" s="157" t="s">
        <v>873</v>
      </c>
      <c r="B40" s="158" t="s">
        <v>88</v>
      </c>
      <c r="C40" s="159" t="s">
        <v>886</v>
      </c>
      <c r="D40" s="174" t="s">
        <v>2565</v>
      </c>
    </row>
    <row r="41" spans="1:4" x14ac:dyDescent="0.35">
      <c r="A41" s="157" t="s">
        <v>873</v>
      </c>
      <c r="B41" s="158" t="s">
        <v>88</v>
      </c>
      <c r="C41" s="159" t="s">
        <v>893</v>
      </c>
      <c r="D41" s="174" t="s">
        <v>2566</v>
      </c>
    </row>
    <row r="42" spans="1:4" x14ac:dyDescent="0.35">
      <c r="A42" s="157" t="s">
        <v>873</v>
      </c>
      <c r="B42" s="158" t="s">
        <v>88</v>
      </c>
      <c r="C42" s="159" t="s">
        <v>899</v>
      </c>
      <c r="D42" s="174" t="s">
        <v>2567</v>
      </c>
    </row>
    <row r="43" spans="1:4" x14ac:dyDescent="0.35">
      <c r="A43" s="157" t="s">
        <v>873</v>
      </c>
      <c r="B43" s="158" t="s">
        <v>88</v>
      </c>
      <c r="C43" s="159" t="s">
        <v>905</v>
      </c>
      <c r="D43" s="174" t="s">
        <v>2568</v>
      </c>
    </row>
    <row r="44" spans="1:4" x14ac:dyDescent="0.35">
      <c r="A44" s="163" t="s">
        <v>963</v>
      </c>
      <c r="B44" s="164" t="s">
        <v>88</v>
      </c>
      <c r="C44" s="165" t="s">
        <v>965</v>
      </c>
      <c r="D44" s="174" t="s">
        <v>2408</v>
      </c>
    </row>
    <row r="45" spans="1:4" x14ac:dyDescent="0.35">
      <c r="A45" s="157" t="s">
        <v>963</v>
      </c>
      <c r="B45" s="158" t="s">
        <v>88</v>
      </c>
      <c r="C45" s="159" t="s">
        <v>975</v>
      </c>
      <c r="D45" s="174" t="s">
        <v>2410</v>
      </c>
    </row>
    <row r="46" spans="1:4" x14ac:dyDescent="0.35">
      <c r="A46" s="163" t="s">
        <v>963</v>
      </c>
      <c r="B46" s="164" t="s">
        <v>88</v>
      </c>
      <c r="C46" s="165" t="s">
        <v>983</v>
      </c>
      <c r="D46" s="174" t="s">
        <v>2411</v>
      </c>
    </row>
    <row r="47" spans="1:4" x14ac:dyDescent="0.35">
      <c r="A47" s="163" t="s">
        <v>963</v>
      </c>
      <c r="B47" s="164" t="s">
        <v>88</v>
      </c>
      <c r="C47" s="165" t="s">
        <v>989</v>
      </c>
      <c r="D47" s="174" t="s">
        <v>2412</v>
      </c>
    </row>
    <row r="48" spans="1:4" x14ac:dyDescent="0.35">
      <c r="A48" s="163" t="s">
        <v>963</v>
      </c>
      <c r="B48" s="164" t="s">
        <v>88</v>
      </c>
      <c r="C48" s="165" t="s">
        <v>995</v>
      </c>
      <c r="D48" s="174" t="s">
        <v>2413</v>
      </c>
    </row>
    <row r="49" spans="1:4" x14ac:dyDescent="0.35">
      <c r="A49" s="157" t="s">
        <v>963</v>
      </c>
      <c r="B49" s="158" t="s">
        <v>746</v>
      </c>
      <c r="C49" s="159" t="s">
        <v>1013</v>
      </c>
      <c r="D49" s="174" t="s">
        <v>2414</v>
      </c>
    </row>
    <row r="50" spans="1:4" x14ac:dyDescent="0.35">
      <c r="A50" s="157" t="s">
        <v>1111</v>
      </c>
      <c r="B50" s="158" t="s">
        <v>88</v>
      </c>
      <c r="C50" s="159" t="s">
        <v>1113</v>
      </c>
      <c r="D50" s="174" t="s">
        <v>2569</v>
      </c>
    </row>
    <row r="51" spans="1:4" x14ac:dyDescent="0.35">
      <c r="A51" s="157" t="s">
        <v>1111</v>
      </c>
      <c r="B51" s="158" t="s">
        <v>88</v>
      </c>
      <c r="C51" s="159" t="s">
        <v>1121</v>
      </c>
      <c r="D51" s="174" t="s">
        <v>2570</v>
      </c>
    </row>
    <row r="52" spans="1:4" x14ac:dyDescent="0.35">
      <c r="A52" s="157" t="s">
        <v>1111</v>
      </c>
      <c r="B52" s="158" t="s">
        <v>88</v>
      </c>
      <c r="C52" s="159" t="s">
        <v>1126</v>
      </c>
      <c r="D52" s="174" t="s">
        <v>2571</v>
      </c>
    </row>
    <row r="53" spans="1:4" x14ac:dyDescent="0.35">
      <c r="A53" s="157" t="s">
        <v>1111</v>
      </c>
      <c r="B53" s="158" t="s">
        <v>88</v>
      </c>
      <c r="C53" s="159" t="s">
        <v>1131</v>
      </c>
      <c r="D53" s="174" t="s">
        <v>2572</v>
      </c>
    </row>
    <row r="54" spans="1:4" x14ac:dyDescent="0.35">
      <c r="A54" s="157" t="s">
        <v>1111</v>
      </c>
      <c r="B54" s="158" t="s">
        <v>88</v>
      </c>
      <c r="C54" s="159" t="s">
        <v>1136</v>
      </c>
      <c r="D54" s="174" t="s">
        <v>2573</v>
      </c>
    </row>
    <row r="55" spans="1:4" x14ac:dyDescent="0.35">
      <c r="A55" s="157" t="s">
        <v>1155</v>
      </c>
      <c r="B55" s="158" t="s">
        <v>88</v>
      </c>
      <c r="C55" s="159" t="s">
        <v>1157</v>
      </c>
      <c r="D55" s="174" t="s">
        <v>2574</v>
      </c>
    </row>
    <row r="56" spans="1:4" x14ac:dyDescent="0.35">
      <c r="A56" s="163" t="s">
        <v>1155</v>
      </c>
      <c r="B56" s="164" t="s">
        <v>88</v>
      </c>
      <c r="C56" s="165" t="s">
        <v>1170</v>
      </c>
      <c r="D56" s="174" t="s">
        <v>2575</v>
      </c>
    </row>
    <row r="57" spans="1:4" x14ac:dyDescent="0.35">
      <c r="A57" s="157" t="s">
        <v>1178</v>
      </c>
      <c r="B57" s="158" t="s">
        <v>88</v>
      </c>
      <c r="C57" s="159" t="s">
        <v>1180</v>
      </c>
      <c r="D57" s="174" t="s">
        <v>2576</v>
      </c>
    </row>
    <row r="58" spans="1:4" x14ac:dyDescent="0.35">
      <c r="A58" s="157" t="s">
        <v>1224</v>
      </c>
      <c r="B58" s="158" t="s">
        <v>88</v>
      </c>
      <c r="C58" s="159" t="s">
        <v>1226</v>
      </c>
      <c r="D58" s="174" t="s">
        <v>2577</v>
      </c>
    </row>
    <row r="59" spans="1:4" x14ac:dyDescent="0.35">
      <c r="A59" s="157" t="s">
        <v>1224</v>
      </c>
      <c r="B59" s="158" t="s">
        <v>122</v>
      </c>
      <c r="C59" s="159" t="s">
        <v>1237</v>
      </c>
      <c r="D59" s="174" t="s">
        <v>2578</v>
      </c>
    </row>
    <row r="60" spans="1:4" x14ac:dyDescent="0.35">
      <c r="A60" s="157" t="s">
        <v>1224</v>
      </c>
      <c r="B60" s="158" t="s">
        <v>122</v>
      </c>
      <c r="C60" s="159" t="s">
        <v>1243</v>
      </c>
      <c r="D60" s="174" t="s">
        <v>2579</v>
      </c>
    </row>
    <row r="61" spans="1:4" x14ac:dyDescent="0.35">
      <c r="A61" s="157" t="s">
        <v>1224</v>
      </c>
      <c r="B61" s="158" t="s">
        <v>88</v>
      </c>
      <c r="C61" s="159" t="s">
        <v>1299</v>
      </c>
      <c r="D61" s="174" t="s">
        <v>2580</v>
      </c>
    </row>
    <row r="62" spans="1:4" x14ac:dyDescent="0.35">
      <c r="A62" s="157" t="s">
        <v>1224</v>
      </c>
      <c r="B62" s="158" t="s">
        <v>88</v>
      </c>
      <c r="C62" s="159" t="s">
        <v>1338</v>
      </c>
      <c r="D62" s="174" t="s">
        <v>2581</v>
      </c>
    </row>
    <row r="63" spans="1:4" x14ac:dyDescent="0.35">
      <c r="A63" s="157" t="s">
        <v>1224</v>
      </c>
      <c r="B63" s="158" t="s">
        <v>122</v>
      </c>
      <c r="C63" s="159" t="s">
        <v>1358</v>
      </c>
      <c r="D63" s="174" t="s">
        <v>2582</v>
      </c>
    </row>
    <row r="64" spans="1:4" x14ac:dyDescent="0.35">
      <c r="A64" s="157" t="s">
        <v>1378</v>
      </c>
      <c r="B64" s="158" t="s">
        <v>88</v>
      </c>
      <c r="C64" s="159" t="s">
        <v>1380</v>
      </c>
      <c r="D64" s="174" t="s">
        <v>2583</v>
      </c>
    </row>
    <row r="65" spans="1:4" x14ac:dyDescent="0.35">
      <c r="A65" s="157" t="s">
        <v>1433</v>
      </c>
      <c r="B65" s="158" t="s">
        <v>88</v>
      </c>
      <c r="C65" s="159" t="s">
        <v>1435</v>
      </c>
      <c r="D65" s="174" t="s">
        <v>2584</v>
      </c>
    </row>
    <row r="66" spans="1:4" x14ac:dyDescent="0.35">
      <c r="A66" s="157" t="s">
        <v>1445</v>
      </c>
      <c r="B66" s="158" t="s">
        <v>88</v>
      </c>
      <c r="C66" s="159" t="s">
        <v>1447</v>
      </c>
      <c r="D66" s="174" t="s">
        <v>2585</v>
      </c>
    </row>
    <row r="67" spans="1:4" x14ac:dyDescent="0.35">
      <c r="A67" s="157" t="s">
        <v>1445</v>
      </c>
      <c r="B67" s="158" t="s">
        <v>88</v>
      </c>
      <c r="C67" s="159" t="s">
        <v>1456</v>
      </c>
      <c r="D67" s="174" t="s">
        <v>2586</v>
      </c>
    </row>
    <row r="68" spans="1:4" x14ac:dyDescent="0.35">
      <c r="A68" s="157" t="s">
        <v>1445</v>
      </c>
      <c r="B68" s="158" t="s">
        <v>88</v>
      </c>
      <c r="C68" s="159" t="s">
        <v>1463</v>
      </c>
      <c r="D68" s="174" t="s">
        <v>2587</v>
      </c>
    </row>
    <row r="69" spans="1:4" x14ac:dyDescent="0.35">
      <c r="A69" s="157" t="s">
        <v>1445</v>
      </c>
      <c r="B69" s="158" t="s">
        <v>88</v>
      </c>
      <c r="C69" s="159" t="s">
        <v>1472</v>
      </c>
      <c r="D69" s="174" t="s">
        <v>2588</v>
      </c>
    </row>
    <row r="70" spans="1:4" x14ac:dyDescent="0.35">
      <c r="A70" s="157" t="s">
        <v>1547</v>
      </c>
      <c r="B70" s="158" t="s">
        <v>88</v>
      </c>
      <c r="C70" s="159" t="s">
        <v>1549</v>
      </c>
      <c r="D70" s="174" t="s">
        <v>2589</v>
      </c>
    </row>
    <row r="71" spans="1:4" x14ac:dyDescent="0.35">
      <c r="A71" s="163" t="s">
        <v>1547</v>
      </c>
      <c r="B71" s="164" t="s">
        <v>122</v>
      </c>
      <c r="C71" s="165" t="s">
        <v>1559</v>
      </c>
      <c r="D71" s="174" t="s">
        <v>2590</v>
      </c>
    </row>
    <row r="72" spans="1:4" x14ac:dyDescent="0.35">
      <c r="A72" s="157" t="s">
        <v>1611</v>
      </c>
      <c r="B72" s="158" t="s">
        <v>88</v>
      </c>
      <c r="C72" s="159" t="s">
        <v>1613</v>
      </c>
      <c r="D72" s="174" t="s">
        <v>2591</v>
      </c>
    </row>
    <row r="73" spans="1:4" x14ac:dyDescent="0.35">
      <c r="A73" s="157" t="s">
        <v>1611</v>
      </c>
      <c r="B73" s="158" t="s">
        <v>88</v>
      </c>
      <c r="C73" s="159" t="s">
        <v>1624</v>
      </c>
      <c r="D73" s="174" t="s">
        <v>2592</v>
      </c>
    </row>
    <row r="74" spans="1:4" x14ac:dyDescent="0.35">
      <c r="A74" s="157" t="s">
        <v>1611</v>
      </c>
      <c r="B74" s="158" t="s">
        <v>88</v>
      </c>
      <c r="C74" s="159" t="s">
        <v>1630</v>
      </c>
      <c r="D74" s="174" t="s">
        <v>2593</v>
      </c>
    </row>
    <row r="75" spans="1:4" x14ac:dyDescent="0.35">
      <c r="A75" s="157" t="s">
        <v>1611</v>
      </c>
      <c r="B75" s="158" t="s">
        <v>122</v>
      </c>
      <c r="C75" s="159" t="s">
        <v>1636</v>
      </c>
      <c r="D75" s="174" t="s">
        <v>2594</v>
      </c>
    </row>
    <row r="76" spans="1:4" x14ac:dyDescent="0.35">
      <c r="A76" s="157" t="s">
        <v>1611</v>
      </c>
      <c r="B76" s="158" t="s">
        <v>746</v>
      </c>
      <c r="C76" s="159" t="s">
        <v>1687</v>
      </c>
      <c r="D76" s="174" t="s">
        <v>2595</v>
      </c>
    </row>
    <row r="77" spans="1:4" x14ac:dyDescent="0.35">
      <c r="A77" s="163" t="s">
        <v>1709</v>
      </c>
      <c r="B77" s="164" t="s">
        <v>88</v>
      </c>
      <c r="C77" s="165" t="s">
        <v>1711</v>
      </c>
      <c r="D77" s="174" t="s">
        <v>2596</v>
      </c>
    </row>
    <row r="78" spans="1:4" x14ac:dyDescent="0.35">
      <c r="A78" s="157" t="s">
        <v>1709</v>
      </c>
      <c r="B78" s="158" t="s">
        <v>122</v>
      </c>
      <c r="C78" t="s">
        <v>2527</v>
      </c>
      <c r="D78" t="s">
        <v>2522</v>
      </c>
    </row>
    <row r="79" spans="1:4" x14ac:dyDescent="0.35">
      <c r="A79" s="161" t="s">
        <v>1751</v>
      </c>
      <c r="B79" s="161" t="s">
        <v>88</v>
      </c>
      <c r="C79" s="162" t="s">
        <v>1753</v>
      </c>
      <c r="D79" s="174" t="s">
        <v>2597</v>
      </c>
    </row>
    <row r="80" spans="1:4" x14ac:dyDescent="0.35">
      <c r="A80" s="166" t="s">
        <v>1751</v>
      </c>
      <c r="B80" s="166" t="s">
        <v>88</v>
      </c>
      <c r="C80" s="167" t="s">
        <v>1763</v>
      </c>
      <c r="D80" s="174" t="s">
        <v>2598</v>
      </c>
    </row>
    <row r="81" spans="1:4" x14ac:dyDescent="0.35">
      <c r="A81" s="166" t="s">
        <v>1751</v>
      </c>
      <c r="B81" s="166" t="s">
        <v>460</v>
      </c>
      <c r="C81" s="167" t="s">
        <v>1769</v>
      </c>
      <c r="D81" s="174" t="s">
        <v>2599</v>
      </c>
    </row>
    <row r="82" spans="1:4" x14ac:dyDescent="0.35">
      <c r="A82" s="166" t="s">
        <v>1751</v>
      </c>
      <c r="B82" s="166" t="s">
        <v>88</v>
      </c>
      <c r="C82" s="167" t="s">
        <v>1781</v>
      </c>
      <c r="D82" s="174" t="s">
        <v>2600</v>
      </c>
    </row>
    <row r="83" spans="1:4" x14ac:dyDescent="0.35">
      <c r="A83" s="166" t="s">
        <v>1751</v>
      </c>
      <c r="B83" s="166" t="s">
        <v>746</v>
      </c>
      <c r="C83" t="s">
        <v>2526</v>
      </c>
      <c r="D83" t="s">
        <v>2523</v>
      </c>
    </row>
    <row r="84" spans="1:4" x14ac:dyDescent="0.35">
      <c r="A84" s="157" t="s">
        <v>1807</v>
      </c>
      <c r="B84" s="158" t="s">
        <v>88</v>
      </c>
      <c r="C84" s="159" t="s">
        <v>1808</v>
      </c>
      <c r="D84" s="174" t="s">
        <v>2601</v>
      </c>
    </row>
    <row r="85" spans="1:4" x14ac:dyDescent="0.35">
      <c r="A85" s="157" t="s">
        <v>1827</v>
      </c>
      <c r="B85" s="158" t="s">
        <v>88</v>
      </c>
      <c r="C85" s="159" t="s">
        <v>1829</v>
      </c>
      <c r="D85" s="174" t="s">
        <v>2602</v>
      </c>
    </row>
    <row r="86" spans="1:4" x14ac:dyDescent="0.35">
      <c r="A86" s="157" t="s">
        <v>1827</v>
      </c>
      <c r="B86" s="158" t="s">
        <v>88</v>
      </c>
      <c r="C86" s="159" t="s">
        <v>1842</v>
      </c>
      <c r="D86" s="174" t="s">
        <v>2603</v>
      </c>
    </row>
    <row r="87" spans="1:4" x14ac:dyDescent="0.35">
      <c r="A87" s="157" t="s">
        <v>1827</v>
      </c>
      <c r="B87" s="158" t="s">
        <v>122</v>
      </c>
      <c r="C87" s="159" t="s">
        <v>1849</v>
      </c>
      <c r="D87" s="174" t="s">
        <v>2604</v>
      </c>
    </row>
    <row r="88" spans="1:4" x14ac:dyDescent="0.35">
      <c r="A88" s="157" t="s">
        <v>1827</v>
      </c>
      <c r="B88" s="158" t="s">
        <v>474</v>
      </c>
      <c r="C88" s="159" t="s">
        <v>1860</v>
      </c>
      <c r="D88" s="174" t="s">
        <v>2605</v>
      </c>
    </row>
    <row r="89" spans="1:4" x14ac:dyDescent="0.35">
      <c r="A89" s="157" t="s">
        <v>1894</v>
      </c>
      <c r="B89" s="158" t="s">
        <v>88</v>
      </c>
      <c r="C89" s="159" t="s">
        <v>1895</v>
      </c>
      <c r="D89" s="174" t="s">
        <v>2606</v>
      </c>
    </row>
    <row r="90" spans="1:4" x14ac:dyDescent="0.35">
      <c r="A90" s="157" t="s">
        <v>1894</v>
      </c>
      <c r="B90" s="158" t="s">
        <v>746</v>
      </c>
      <c r="C90" s="159" t="s">
        <v>1904</v>
      </c>
      <c r="D90" s="174" t="s">
        <v>2607</v>
      </c>
    </row>
    <row r="91" spans="1:4" x14ac:dyDescent="0.35">
      <c r="A91" s="163" t="s">
        <v>1919</v>
      </c>
      <c r="B91" s="164" t="s">
        <v>88</v>
      </c>
      <c r="C91" s="165" t="s">
        <v>1921</v>
      </c>
      <c r="D91" s="174" t="s">
        <v>2608</v>
      </c>
    </row>
    <row r="92" spans="1:4" x14ac:dyDescent="0.35">
      <c r="A92" s="157" t="s">
        <v>1977</v>
      </c>
      <c r="B92" s="158" t="s">
        <v>88</v>
      </c>
      <c r="C92" s="159" t="s">
        <v>1978</v>
      </c>
      <c r="D92" s="174" t="s">
        <v>2609</v>
      </c>
    </row>
    <row r="93" spans="1:4" x14ac:dyDescent="0.35">
      <c r="A93" s="157" t="s">
        <v>2044</v>
      </c>
      <c r="B93" s="158" t="s">
        <v>88</v>
      </c>
      <c r="C93" s="159" t="s">
        <v>2046</v>
      </c>
      <c r="D93" s="174" t="s">
        <v>2610</v>
      </c>
    </row>
    <row r="94" spans="1:4" x14ac:dyDescent="0.35">
      <c r="A94" s="157" t="s">
        <v>2044</v>
      </c>
      <c r="B94" s="158" t="s">
        <v>88</v>
      </c>
      <c r="C94" s="159" t="s">
        <v>2057</v>
      </c>
      <c r="D94" s="174" t="s">
        <v>2611</v>
      </c>
    </row>
    <row r="95" spans="1:4" x14ac:dyDescent="0.35">
      <c r="A95" s="163" t="s">
        <v>2044</v>
      </c>
      <c r="B95" s="164" t="s">
        <v>460</v>
      </c>
      <c r="C95" s="165" t="s">
        <v>2065</v>
      </c>
      <c r="D95" s="174" t="s">
        <v>2612</v>
      </c>
    </row>
    <row r="96" spans="1:4" x14ac:dyDescent="0.35">
      <c r="A96" s="157" t="s">
        <v>2044</v>
      </c>
      <c r="B96" s="158" t="s">
        <v>122</v>
      </c>
      <c r="C96" s="159" t="s">
        <v>2073</v>
      </c>
      <c r="D96" s="174" t="s">
        <v>2613</v>
      </c>
    </row>
    <row r="97" spans="1:4" x14ac:dyDescent="0.35">
      <c r="A97" s="163" t="s">
        <v>2044</v>
      </c>
      <c r="B97" s="164" t="s">
        <v>122</v>
      </c>
      <c r="C97" s="165" t="s">
        <v>2079</v>
      </c>
      <c r="D97" s="174" t="s">
        <v>2614</v>
      </c>
    </row>
    <row r="98" spans="1:4" x14ac:dyDescent="0.35">
      <c r="A98" s="163" t="s">
        <v>2129</v>
      </c>
      <c r="B98" s="164" t="s">
        <v>88</v>
      </c>
      <c r="C98" s="165" t="s">
        <v>2130</v>
      </c>
      <c r="D98" s="174" t="s">
        <v>2615</v>
      </c>
    </row>
    <row r="99" spans="1:4" x14ac:dyDescent="0.35">
      <c r="A99" s="163" t="s">
        <v>2129</v>
      </c>
      <c r="B99" s="164" t="s">
        <v>88</v>
      </c>
      <c r="C99" s="165" t="s">
        <v>2138</v>
      </c>
      <c r="D99" s="174" t="s">
        <v>2616</v>
      </c>
    </row>
    <row r="100" spans="1:4" x14ac:dyDescent="0.35">
      <c r="A100" s="163" t="s">
        <v>2129</v>
      </c>
      <c r="B100" s="164" t="s">
        <v>88</v>
      </c>
      <c r="C100" s="165" t="s">
        <v>2143</v>
      </c>
      <c r="D100" s="174" t="s">
        <v>2617</v>
      </c>
    </row>
    <row r="101" spans="1:4" x14ac:dyDescent="0.35">
      <c r="A101" s="163" t="s">
        <v>2129</v>
      </c>
      <c r="B101" s="164" t="s">
        <v>88</v>
      </c>
      <c r="C101" s="165" t="s">
        <v>2148</v>
      </c>
      <c r="D101" s="174" t="s">
        <v>2618</v>
      </c>
    </row>
    <row r="102" spans="1:4" x14ac:dyDescent="0.35">
      <c r="A102" s="157" t="s">
        <v>2129</v>
      </c>
      <c r="B102" s="158" t="s">
        <v>122</v>
      </c>
      <c r="C102" s="159" t="s">
        <v>2153</v>
      </c>
      <c r="D102" s="174" t="s">
        <v>2619</v>
      </c>
    </row>
    <row r="103" spans="1:4" x14ac:dyDescent="0.35">
      <c r="A103" s="157" t="s">
        <v>2129</v>
      </c>
      <c r="B103" s="158" t="s">
        <v>122</v>
      </c>
      <c r="C103" s="159" t="s">
        <v>2160</v>
      </c>
      <c r="D103" s="174" t="s">
        <v>2620</v>
      </c>
    </row>
    <row r="104" spans="1:4" x14ac:dyDescent="0.35">
      <c r="A104" s="157" t="s">
        <v>2129</v>
      </c>
      <c r="B104" s="158" t="s">
        <v>122</v>
      </c>
      <c r="C104" s="159" t="s">
        <v>2166</v>
      </c>
      <c r="D104" s="174" t="s">
        <v>2621</v>
      </c>
    </row>
    <row r="105" spans="1:4" x14ac:dyDescent="0.35">
      <c r="A105" s="157" t="s">
        <v>2175</v>
      </c>
      <c r="B105" s="158" t="s">
        <v>88</v>
      </c>
      <c r="C105" s="159" t="s">
        <v>2177</v>
      </c>
      <c r="D105" s="174" t="s">
        <v>2622</v>
      </c>
    </row>
    <row r="106" spans="1:4" x14ac:dyDescent="0.35">
      <c r="A106" s="157" t="s">
        <v>2175</v>
      </c>
      <c r="B106" s="158" t="s">
        <v>88</v>
      </c>
      <c r="C106" s="159" t="s">
        <v>2191</v>
      </c>
      <c r="D106" s="174" t="s">
        <v>2623</v>
      </c>
    </row>
    <row r="107" spans="1:4" x14ac:dyDescent="0.35">
      <c r="A107" s="157" t="s">
        <v>2227</v>
      </c>
      <c r="B107" s="158" t="s">
        <v>88</v>
      </c>
      <c r="C107" s="159" t="s">
        <v>2228</v>
      </c>
      <c r="D107" s="174" t="s">
        <v>2624</v>
      </c>
    </row>
    <row r="108" spans="1:4" x14ac:dyDescent="0.35">
      <c r="A108" s="157" t="s">
        <v>2227</v>
      </c>
      <c r="B108" s="158" t="s">
        <v>88</v>
      </c>
      <c r="C108" s="159" t="s">
        <v>2242</v>
      </c>
      <c r="D108" s="174" t="s">
        <v>2625</v>
      </c>
    </row>
    <row r="109" spans="1:4" x14ac:dyDescent="0.35">
      <c r="A109" s="157" t="s">
        <v>2227</v>
      </c>
      <c r="B109" s="158" t="s">
        <v>88</v>
      </c>
      <c r="C109" s="159" t="s">
        <v>2248</v>
      </c>
      <c r="D109" s="174" t="s">
        <v>2626</v>
      </c>
    </row>
    <row r="110" spans="1:4" x14ac:dyDescent="0.35">
      <c r="A110" s="157" t="s">
        <v>2227</v>
      </c>
      <c r="B110" s="158" t="s">
        <v>122</v>
      </c>
      <c r="C110" t="s">
        <v>2525</v>
      </c>
      <c r="D110" t="s">
        <v>2524</v>
      </c>
    </row>
    <row r="111" spans="1:4" x14ac:dyDescent="0.35">
      <c r="A111" s="157" t="s">
        <v>2227</v>
      </c>
      <c r="B111" s="158" t="s">
        <v>122</v>
      </c>
      <c r="C111" s="159" t="s">
        <v>2261</v>
      </c>
      <c r="D111" s="174" t="s">
        <v>2627</v>
      </c>
    </row>
    <row r="112" spans="1:4" x14ac:dyDescent="0.35">
      <c r="A112" s="157" t="s">
        <v>2282</v>
      </c>
      <c r="B112" s="158" t="s">
        <v>88</v>
      </c>
      <c r="C112" s="159" t="s">
        <v>2283</v>
      </c>
      <c r="D112" s="174" t="s">
        <v>2628</v>
      </c>
    </row>
    <row r="113" spans="1:4" x14ac:dyDescent="0.35">
      <c r="A113" s="163" t="s">
        <v>2282</v>
      </c>
      <c r="B113" s="164" t="s">
        <v>122</v>
      </c>
      <c r="C113" s="165" t="s">
        <v>2294</v>
      </c>
      <c r="D113" s="174" t="s">
        <v>2629</v>
      </c>
    </row>
    <row r="114" spans="1:4" x14ac:dyDescent="0.35">
      <c r="A114" s="157" t="s">
        <v>2282</v>
      </c>
      <c r="B114" s="158" t="s">
        <v>460</v>
      </c>
      <c r="C114" s="159" t="s">
        <v>2301</v>
      </c>
      <c r="D114" s="174" t="s">
        <v>2630</v>
      </c>
    </row>
    <row r="115" spans="1:4" x14ac:dyDescent="0.35">
      <c r="A115" s="157" t="s">
        <v>2331</v>
      </c>
      <c r="B115" s="158" t="s">
        <v>88</v>
      </c>
      <c r="C115" s="159" t="s">
        <v>2333</v>
      </c>
      <c r="D115" s="174" t="s">
        <v>2631</v>
      </c>
    </row>
    <row r="116" spans="1:4" x14ac:dyDescent="0.35">
      <c r="A116" s="163" t="s">
        <v>2331</v>
      </c>
      <c r="B116" s="164" t="s">
        <v>88</v>
      </c>
      <c r="C116" s="165" t="s">
        <v>2342</v>
      </c>
      <c r="D116" s="174" t="s">
        <v>2632</v>
      </c>
    </row>
    <row r="117" spans="1:4" x14ac:dyDescent="0.35">
      <c r="A117" s="163" t="s">
        <v>2331</v>
      </c>
      <c r="B117" s="164" t="s">
        <v>88</v>
      </c>
      <c r="C117" s="165" t="s">
        <v>2349</v>
      </c>
      <c r="D117" s="174" t="s">
        <v>2633</v>
      </c>
    </row>
    <row r="118" spans="1:4" x14ac:dyDescent="0.35">
      <c r="A118" s="163" t="s">
        <v>2331</v>
      </c>
      <c r="B118" s="164" t="s">
        <v>88</v>
      </c>
      <c r="C118" s="165" t="s">
        <v>2354</v>
      </c>
      <c r="D118" s="174" t="s">
        <v>2634</v>
      </c>
    </row>
    <row r="119" spans="1:4" x14ac:dyDescent="0.35">
      <c r="A119" s="157" t="s">
        <v>2331</v>
      </c>
      <c r="B119" s="158" t="s">
        <v>122</v>
      </c>
      <c r="C119" s="159" t="s">
        <v>2360</v>
      </c>
      <c r="D119" s="174" t="s">
        <v>2635</v>
      </c>
    </row>
    <row r="120" spans="1:4" x14ac:dyDescent="0.35">
      <c r="A120" s="163" t="s">
        <v>2381</v>
      </c>
      <c r="B120" s="164" t="s">
        <v>88</v>
      </c>
      <c r="C120" s="165" t="s">
        <v>2382</v>
      </c>
      <c r="D120" s="174" t="s">
        <v>2636</v>
      </c>
    </row>
    <row r="121" spans="1:4" x14ac:dyDescent="0.35">
      <c r="A121" s="168" t="s">
        <v>2392</v>
      </c>
      <c r="B121" s="169" t="s">
        <v>88</v>
      </c>
      <c r="C121" s="170" t="s">
        <v>2394</v>
      </c>
      <c r="D121" s="174" t="s">
        <v>2637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45278-2C17-4309-B83E-B5A59E8272A0}">
  <dimension ref="A1:A106"/>
  <sheetViews>
    <sheetView workbookViewId="0"/>
  </sheetViews>
  <sheetFormatPr defaultRowHeight="14.5" x14ac:dyDescent="0.35"/>
  <cols>
    <col min="1" max="1" width="58.1796875" customWidth="1"/>
  </cols>
  <sheetData>
    <row r="1" spans="1:1" ht="15.5" x14ac:dyDescent="0.35">
      <c r="A1" s="186" t="s">
        <v>2638</v>
      </c>
    </row>
    <row r="3" spans="1:1" x14ac:dyDescent="0.35">
      <c r="A3" s="187" t="s">
        <v>14</v>
      </c>
    </row>
    <row r="4" spans="1:1" x14ac:dyDescent="0.35">
      <c r="A4" t="str" cm="1">
        <f t="array" ref="A4:A106">_xlfn._xlws.FILTER('Fee Breakdown by Entity'!D5:D288,'Fee Breakdown by Entity'!C5:C288="Fund")</f>
        <v>Bahamas Ltd</v>
      </c>
    </row>
    <row r="5" spans="1:1" x14ac:dyDescent="0.35">
      <c r="A5" t="str">
        <v>Bahamas Exempt LP</v>
      </c>
    </row>
    <row r="6" spans="1:1" x14ac:dyDescent="0.35">
      <c r="A6" t="str">
        <v>Bahamas Unit Trust</v>
      </c>
    </row>
    <row r="7" spans="1:1" x14ac:dyDescent="0.35">
      <c r="A7" t="str">
        <v>Bahamas SAC</v>
      </c>
    </row>
    <row r="8" spans="1:1" x14ac:dyDescent="0.35">
      <c r="A8" t="str">
        <v>Bahamas ICON</v>
      </c>
    </row>
    <row r="9" spans="1:1" x14ac:dyDescent="0.35">
      <c r="A9" t="str">
        <v>Brazil FI</v>
      </c>
    </row>
    <row r="10" spans="1:1" x14ac:dyDescent="0.35">
      <c r="A10" t="str">
        <v>Brazil FIC</v>
      </c>
    </row>
    <row r="11" spans="1:1" x14ac:dyDescent="0.35">
      <c r="A11" t="str">
        <v>Brazil FIA</v>
      </c>
    </row>
    <row r="12" spans="1:1" x14ac:dyDescent="0.35">
      <c r="A12" t="str">
        <v>Brazil FIP</v>
      </c>
    </row>
    <row r="13" spans="1:1" x14ac:dyDescent="0.35">
      <c r="A13" t="str">
        <v>Brazil FII</v>
      </c>
    </row>
    <row r="14" spans="1:1" x14ac:dyDescent="0.35">
      <c r="A14" t="str">
        <v>Brazil FI-Infra</v>
      </c>
    </row>
    <row r="15" spans="1:1" x14ac:dyDescent="0.35">
      <c r="A15" t="str">
        <v>British Virgin Islands Ltd</v>
      </c>
    </row>
    <row r="16" spans="1:1" x14ac:dyDescent="0.35">
      <c r="A16" t="str">
        <v>British Virgin Islands LP</v>
      </c>
    </row>
    <row r="17" spans="1:1" x14ac:dyDescent="0.35">
      <c r="A17" t="str">
        <v>British Virgin Islands SPC</v>
      </c>
    </row>
    <row r="18" spans="1:1" x14ac:dyDescent="0.35">
      <c r="A18" t="str">
        <v>British Virgin Islands Unit Trust</v>
      </c>
    </row>
    <row r="19" spans="1:1" x14ac:dyDescent="0.35">
      <c r="A19" t="str">
        <v>British Virgin Islands LLP</v>
      </c>
    </row>
    <row r="20" spans="1:1" x14ac:dyDescent="0.35">
      <c r="A20" t="str">
        <v>Barbados Ltd</v>
      </c>
    </row>
    <row r="21" spans="1:1" x14ac:dyDescent="0.35">
      <c r="A21" t="str">
        <v>Barbados SRL</v>
      </c>
    </row>
    <row r="22" spans="1:1" x14ac:dyDescent="0.35">
      <c r="A22" t="str">
        <v>Barbados LP</v>
      </c>
    </row>
    <row r="23" spans="1:1" x14ac:dyDescent="0.35">
      <c r="A23" t="str">
        <v>Barbados Unit Trust</v>
      </c>
    </row>
    <row r="24" spans="1:1" x14ac:dyDescent="0.35">
      <c r="A24" t="str">
        <v>Barbados SCC</v>
      </c>
    </row>
    <row r="25" spans="1:1" x14ac:dyDescent="0.35">
      <c r="A25" t="str">
        <v>Cayman Islands Exempt Company</v>
      </c>
    </row>
    <row r="26" spans="1:1" x14ac:dyDescent="0.35">
      <c r="A26" t="str">
        <v>Cayman Islands Exempt LP</v>
      </c>
    </row>
    <row r="27" spans="1:1" x14ac:dyDescent="0.35">
      <c r="A27" t="str">
        <v>Cayman Islands LLC</v>
      </c>
    </row>
    <row r="28" spans="1:1" x14ac:dyDescent="0.35">
      <c r="A28" t="str">
        <v>Cayman Islands SPC</v>
      </c>
    </row>
    <row r="29" spans="1:1" x14ac:dyDescent="0.35">
      <c r="A29" t="str">
        <v>Cayman Islands Unit Trust</v>
      </c>
    </row>
    <row r="30" spans="1:1" x14ac:dyDescent="0.35">
      <c r="A30" t="str">
        <v>Chile Fondo de Inversion Publico</v>
      </c>
    </row>
    <row r="31" spans="1:1" x14ac:dyDescent="0.35">
      <c r="A31" t="str">
        <v>Chile Fondo de Inversion Privado</v>
      </c>
    </row>
    <row r="32" spans="1:1" x14ac:dyDescent="0.35">
      <c r="A32" t="str">
        <v>Chile Fondo de Inversion Inmobiliario</v>
      </c>
    </row>
    <row r="33" spans="1:1" x14ac:dyDescent="0.35">
      <c r="A33" t="str">
        <v>Chile Fondo Extranjero</v>
      </c>
    </row>
    <row r="34" spans="1:1" x14ac:dyDescent="0.35">
      <c r="A34" t="str">
        <v>Chile Fondo Mutuo</v>
      </c>
    </row>
    <row r="35" spans="1:1" x14ac:dyDescent="0.35">
      <c r="A35" t="str">
        <v>Curacao NV</v>
      </c>
    </row>
    <row r="36" spans="1:1" x14ac:dyDescent="0.35">
      <c r="A36" t="str">
        <v>Curacao BV</v>
      </c>
    </row>
    <row r="37" spans="1:1" x14ac:dyDescent="0.35">
      <c r="A37" t="str">
        <v>Curacao CV</v>
      </c>
    </row>
    <row r="38" spans="1:1" x14ac:dyDescent="0.35">
      <c r="A38" t="str">
        <v>Curacao Trust</v>
      </c>
    </row>
    <row r="39" spans="1:1" x14ac:dyDescent="0.35">
      <c r="A39" t="str">
        <v>Curacao FGR</v>
      </c>
    </row>
    <row r="40" spans="1:1" x14ac:dyDescent="0.35">
      <c r="A40" t="str">
        <v>Cyprus VCIC</v>
      </c>
    </row>
    <row r="41" spans="1:1" x14ac:dyDescent="0.35">
      <c r="A41" t="str">
        <v>Cyprus FCIC</v>
      </c>
    </row>
    <row r="42" spans="1:1" x14ac:dyDescent="0.35">
      <c r="A42" t="str">
        <v>Cyprus LP</v>
      </c>
    </row>
    <row r="43" spans="1:1" x14ac:dyDescent="0.35">
      <c r="A43" t="str">
        <v>Cyprus CF</v>
      </c>
    </row>
    <row r="44" spans="1:1" x14ac:dyDescent="0.35">
      <c r="A44" t="str">
        <v>Delaware Ltd</v>
      </c>
    </row>
    <row r="45" spans="1:1" x14ac:dyDescent="0.35">
      <c r="A45" t="str">
        <v>Delaware LP</v>
      </c>
    </row>
    <row r="46" spans="1:1" x14ac:dyDescent="0.35">
      <c r="A46" t="str">
        <v>Delaware LLC</v>
      </c>
    </row>
    <row r="47" spans="1:1" x14ac:dyDescent="0.35">
      <c r="A47" t="str">
        <v>Delaware DST</v>
      </c>
    </row>
    <row r="48" spans="1:1" x14ac:dyDescent="0.35">
      <c r="A48" t="str">
        <v>Delaware C-Corp</v>
      </c>
    </row>
    <row r="49" spans="1:1" x14ac:dyDescent="0.35">
      <c r="A49" t="str">
        <v>Delaware S-Corp</v>
      </c>
    </row>
    <row r="50" spans="1:1" x14ac:dyDescent="0.35">
      <c r="A50" t="str">
        <v>Delaware Series LLC</v>
      </c>
    </row>
    <row r="51" spans="1:1" x14ac:dyDescent="0.35">
      <c r="A51" t="str">
        <v>United Arab Emirates Investment Company</v>
      </c>
    </row>
    <row r="52" spans="1:1" x14ac:dyDescent="0.35">
      <c r="A52" t="str">
        <v>United Arab Emirates Investment Trust</v>
      </c>
    </row>
    <row r="53" spans="1:1" x14ac:dyDescent="0.35">
      <c r="A53" t="str">
        <v>United Arab Emirates LP</v>
      </c>
    </row>
    <row r="54" spans="1:1" x14ac:dyDescent="0.35">
      <c r="A54" t="str">
        <v>United Arab Emirates PCC</v>
      </c>
    </row>
    <row r="55" spans="1:1" x14ac:dyDescent="0.35">
      <c r="A55" t="str">
        <v>United Arab Emirates ICC</v>
      </c>
    </row>
    <row r="56" spans="1:1" x14ac:dyDescent="0.35">
      <c r="A56" t="str">
        <v>Hong Kong OFC</v>
      </c>
    </row>
    <row r="57" spans="1:1" x14ac:dyDescent="0.35">
      <c r="A57" t="str">
        <v>Hong Kong LP</v>
      </c>
    </row>
    <row r="58" spans="1:1" x14ac:dyDescent="0.35">
      <c r="A58" t="str">
        <v>Hong Kong Unit Trust</v>
      </c>
    </row>
    <row r="59" spans="1:1" x14ac:dyDescent="0.35">
      <c r="A59" t="str">
        <v>Hong Kong CLS</v>
      </c>
    </row>
    <row r="60" spans="1:1" x14ac:dyDescent="0.35">
      <c r="A60" t="str">
        <v>Hong Kong Business Trust</v>
      </c>
    </row>
    <row r="61" spans="1:1" x14ac:dyDescent="0.35">
      <c r="A61" t="str">
        <v>India LP</v>
      </c>
    </row>
    <row r="62" spans="1:1" x14ac:dyDescent="0.35">
      <c r="A62" t="str">
        <v>India Company</v>
      </c>
    </row>
    <row r="63" spans="1:1" x14ac:dyDescent="0.35">
      <c r="A63" t="str">
        <v>India SPC</v>
      </c>
    </row>
    <row r="64" spans="1:1" x14ac:dyDescent="0.35">
      <c r="A64" t="str">
        <v>India Trust</v>
      </c>
    </row>
    <row r="65" spans="1:1" x14ac:dyDescent="0.35">
      <c r="A65" t="str">
        <v>India GIFT City AIF</v>
      </c>
    </row>
    <row r="66" spans="1:1" x14ac:dyDescent="0.35">
      <c r="A66" t="str">
        <v>India AIF</v>
      </c>
    </row>
    <row r="67" spans="1:1" x14ac:dyDescent="0.35">
      <c r="A67" t="str">
        <v>Kazakhstan Ltd</v>
      </c>
    </row>
    <row r="68" spans="1:1" x14ac:dyDescent="0.35">
      <c r="A68" t="str">
        <v>Kazakhstan PLC</v>
      </c>
    </row>
    <row r="69" spans="1:1" x14ac:dyDescent="0.35">
      <c r="A69" t="str">
        <v>Kazakhstan LP</v>
      </c>
    </row>
    <row r="70" spans="1:1" x14ac:dyDescent="0.35">
      <c r="A70" t="str">
        <v>Kazakhstan PCC</v>
      </c>
    </row>
    <row r="71" spans="1:1" x14ac:dyDescent="0.35">
      <c r="A71" t="str">
        <v>Kazakhstan ICC</v>
      </c>
    </row>
    <row r="72" spans="1:1" x14ac:dyDescent="0.35">
      <c r="A72" t="str">
        <v>Kazakhstan Unit Trust</v>
      </c>
    </row>
    <row r="73" spans="1:1" x14ac:dyDescent="0.35">
      <c r="A73" t="str">
        <v>Luxembourg SA</v>
      </c>
    </row>
    <row r="74" spans="1:1" x14ac:dyDescent="0.35">
      <c r="A74" t="str">
        <v>Luxembourg SCA</v>
      </c>
    </row>
    <row r="75" spans="1:1" x14ac:dyDescent="0.35">
      <c r="A75" t="str">
        <v>Luxembourg Sarl</v>
      </c>
    </row>
    <row r="76" spans="1:1" x14ac:dyDescent="0.35">
      <c r="A76" t="str">
        <v>Luxembourg SCoSA</v>
      </c>
    </row>
    <row r="77" spans="1:1" x14ac:dyDescent="0.35">
      <c r="A77" t="str">
        <v>Luxembourg SCS</v>
      </c>
    </row>
    <row r="78" spans="1:1" x14ac:dyDescent="0.35">
      <c r="A78" t="str">
        <v>Luxembourg SCSp</v>
      </c>
    </row>
    <row r="79" spans="1:1" x14ac:dyDescent="0.35">
      <c r="A79" t="str">
        <v>Luxembourg FCP</v>
      </c>
    </row>
    <row r="80" spans="1:1" x14ac:dyDescent="0.35">
      <c r="A80" t="str">
        <v>Luxembourg RAIF</v>
      </c>
    </row>
    <row r="81" spans="1:1" x14ac:dyDescent="0.35">
      <c r="A81" t="str">
        <v>Malta SICAV</v>
      </c>
    </row>
    <row r="82" spans="1:1" x14ac:dyDescent="0.35">
      <c r="A82" t="str">
        <v>Malta INVCO</v>
      </c>
    </row>
    <row r="83" spans="1:1" x14ac:dyDescent="0.35">
      <c r="A83" t="str">
        <v>Malta LP</v>
      </c>
    </row>
    <row r="84" spans="1:1" x14ac:dyDescent="0.35">
      <c r="A84" t="str">
        <v>Malta Unit Trust</v>
      </c>
    </row>
    <row r="85" spans="1:1" x14ac:dyDescent="0.35">
      <c r="A85" t="str">
        <v>Malta CF</v>
      </c>
    </row>
    <row r="86" spans="1:1" x14ac:dyDescent="0.35">
      <c r="A86" t="str">
        <v>Malta ICC</v>
      </c>
    </row>
    <row r="87" spans="1:1" x14ac:dyDescent="0.35">
      <c r="A87" t="str">
        <v>Malta RICC</v>
      </c>
    </row>
    <row r="88" spans="1:1" x14ac:dyDescent="0.35">
      <c r="A88" t="str">
        <v>Mauritius Ltd</v>
      </c>
    </row>
    <row r="89" spans="1:1" x14ac:dyDescent="0.35">
      <c r="A89" t="str">
        <v>Mauritius PCC</v>
      </c>
    </row>
    <row r="90" spans="1:1" x14ac:dyDescent="0.35">
      <c r="A90" t="str">
        <v>Mauritius LP</v>
      </c>
    </row>
    <row r="91" spans="1:1" x14ac:dyDescent="0.35">
      <c r="A91" t="str">
        <v>Mauritius VCC</v>
      </c>
    </row>
    <row r="92" spans="1:1" x14ac:dyDescent="0.35">
      <c r="A92" t="str">
        <v>Netherlands FGR</v>
      </c>
    </row>
    <row r="93" spans="1:1" x14ac:dyDescent="0.35">
      <c r="A93" t="str">
        <v>Peru Fondo de Inversion</v>
      </c>
    </row>
    <row r="94" spans="1:1" x14ac:dyDescent="0.35">
      <c r="A94" t="str">
        <v>Peru Fondo Mutuo</v>
      </c>
    </row>
    <row r="95" spans="1:1" x14ac:dyDescent="0.35">
      <c r="A95" t="str">
        <v>Peru Fideicomiso de Inversion</v>
      </c>
    </row>
    <row r="96" spans="1:1" x14ac:dyDescent="0.35">
      <c r="A96" t="str">
        <v>Peru SA</v>
      </c>
    </row>
    <row r="97" spans="1:1" x14ac:dyDescent="0.35">
      <c r="A97" t="str">
        <v>Peru SC</v>
      </c>
    </row>
    <row r="98" spans="1:1" x14ac:dyDescent="0.35">
      <c r="A98" t="str">
        <v>Singapore VCC</v>
      </c>
    </row>
    <row r="99" spans="1:1" x14ac:dyDescent="0.35">
      <c r="A99" t="str">
        <v>Singapore Unit Trust</v>
      </c>
    </row>
    <row r="100" spans="1:1" x14ac:dyDescent="0.35">
      <c r="A100" t="str">
        <v>Singapore LP</v>
      </c>
    </row>
    <row r="101" spans="1:1" x14ac:dyDescent="0.35">
      <c r="A101" t="str">
        <v>Singapore Ltd</v>
      </c>
    </row>
    <row r="102" spans="1:1" x14ac:dyDescent="0.35">
      <c r="A102" t="str">
        <v>Singapore Business Trust / REIT</v>
      </c>
    </row>
    <row r="103" spans="1:1" x14ac:dyDescent="0.35">
      <c r="A103" t="str">
        <v>Spain SCR</v>
      </c>
    </row>
    <row r="104" spans="1:1" x14ac:dyDescent="0.35">
      <c r="A104" t="str">
        <v>Spain FCR</v>
      </c>
    </row>
    <row r="105" spans="1:1" x14ac:dyDescent="0.35">
      <c r="A105" t="str">
        <v>Spain SICC</v>
      </c>
    </row>
    <row r="106" spans="1:1" x14ac:dyDescent="0.35">
      <c r="A106" t="str">
        <v>Spain FICC</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DAE4-9339-4D61-978B-B44300E43475}">
  <dimension ref="A1:I159"/>
  <sheetViews>
    <sheetView tabSelected="1" workbookViewId="0">
      <pane ySplit="1" topLeftCell="A123" activePane="bottomLeft" state="frozen"/>
      <selection pane="bottomLeft" activeCell="G132" sqref="G132"/>
    </sheetView>
  </sheetViews>
  <sheetFormatPr defaultRowHeight="14.5" x14ac:dyDescent="0.35"/>
  <cols>
    <col min="1" max="1" width="25.453125" customWidth="1"/>
    <col min="2" max="2" width="41.81640625" customWidth="1"/>
    <col min="3" max="3" width="52.7265625" customWidth="1"/>
    <col min="4" max="4" width="20" customWidth="1"/>
    <col min="5" max="5" width="14.54296875" customWidth="1"/>
    <col min="6" max="6" width="18.1796875" style="189" customWidth="1"/>
    <col min="7" max="7" width="30.36328125" bestFit="1" customWidth="1"/>
  </cols>
  <sheetData>
    <row r="1" spans="1:9" x14ac:dyDescent="0.35">
      <c r="A1" s="188" t="s">
        <v>11</v>
      </c>
      <c r="B1" s="188" t="s">
        <v>14</v>
      </c>
      <c r="C1" s="188" t="s">
        <v>2640</v>
      </c>
      <c r="D1" s="188" t="s">
        <v>2641</v>
      </c>
      <c r="E1" s="188" t="s">
        <v>2642</v>
      </c>
      <c r="F1" s="192" t="s">
        <v>2646</v>
      </c>
      <c r="G1" t="s">
        <v>2644</v>
      </c>
      <c r="H1" t="s">
        <v>2647</v>
      </c>
      <c r="I1" t="s">
        <v>2645</v>
      </c>
    </row>
    <row r="2" spans="1:9" x14ac:dyDescent="0.35">
      <c r="A2" t="str">
        <f>'Fee Breakdown by Entity'!A8</f>
        <v>Bahamas</v>
      </c>
      <c r="B2" t="str">
        <f>'Fee Breakdown by Entity'!D8</f>
        <v>Bahamas Ltd</v>
      </c>
      <c r="C2" t="str">
        <f>TRIM(SUBSTITUTE('Fee Breakdown by Entity'!AL$4,CHAR(10)," "))</f>
        <v>Bank Account Opening with Amicorp Bank &amp; Trust</v>
      </c>
      <c r="D2" t="s">
        <v>2643</v>
      </c>
      <c r="E2" t="s">
        <v>235</v>
      </c>
      <c r="F2" s="191">
        <f>IF('Fee Breakdown by Entity'!AL8="","",'Fee Breakdown by Entity'!AL8)</f>
        <v>0</v>
      </c>
      <c r="G2" t="s">
        <v>2648</v>
      </c>
      <c r="H2" t="s">
        <v>2649</v>
      </c>
    </row>
    <row r="3" spans="1:9" x14ac:dyDescent="0.35">
      <c r="A3" t="str">
        <f>'Fee Breakdown by Entity'!A9</f>
        <v>Bahamas</v>
      </c>
      <c r="B3" t="str">
        <f>'Fee Breakdown by Entity'!D9</f>
        <v>Bahamas Exempt LP</v>
      </c>
      <c r="C3" t="str">
        <f>TRIM(SUBSTITUTE('Fee Breakdown by Entity'!AL$4,CHAR(10)," "))</f>
        <v>Bank Account Opening with Amicorp Bank &amp; Trust</v>
      </c>
      <c r="D3" t="s">
        <v>2643</v>
      </c>
      <c r="E3" t="s">
        <v>235</v>
      </c>
      <c r="F3" s="191">
        <f>IF('Fee Breakdown by Entity'!AL9="","",'Fee Breakdown by Entity'!AL9)</f>
        <v>0</v>
      </c>
      <c r="G3" t="s">
        <v>2648</v>
      </c>
      <c r="H3" t="s">
        <v>2649</v>
      </c>
    </row>
    <row r="4" spans="1:9" x14ac:dyDescent="0.35">
      <c r="A4" t="str">
        <f>'Fee Breakdown by Entity'!A10</f>
        <v>Bahamas</v>
      </c>
      <c r="B4" t="str">
        <f>'Fee Breakdown by Entity'!D10</f>
        <v>Bahamas Unit Trust</v>
      </c>
      <c r="C4" t="str">
        <f>TRIM(SUBSTITUTE('Fee Breakdown by Entity'!AL$4,CHAR(10)," "))</f>
        <v>Bank Account Opening with Amicorp Bank &amp; Trust</v>
      </c>
      <c r="D4" t="s">
        <v>2643</v>
      </c>
      <c r="E4" t="s">
        <v>235</v>
      </c>
      <c r="F4" s="191">
        <f>IF('Fee Breakdown by Entity'!AL10="","",'Fee Breakdown by Entity'!AL10)</f>
        <v>0</v>
      </c>
      <c r="G4" t="s">
        <v>2648</v>
      </c>
      <c r="H4" t="s">
        <v>2649</v>
      </c>
    </row>
    <row r="5" spans="1:9" x14ac:dyDescent="0.35">
      <c r="A5" t="str">
        <f>'Fee Breakdown by Entity'!A11</f>
        <v>Bahamas</v>
      </c>
      <c r="B5" t="str">
        <f>'Fee Breakdown by Entity'!D11</f>
        <v>Bahamas SAC</v>
      </c>
      <c r="C5" t="str">
        <f>TRIM(SUBSTITUTE('Fee Breakdown by Entity'!AL$4,CHAR(10)," "))</f>
        <v>Bank Account Opening with Amicorp Bank &amp; Trust</v>
      </c>
      <c r="D5" t="s">
        <v>2643</v>
      </c>
      <c r="E5" t="s">
        <v>235</v>
      </c>
      <c r="F5" s="191">
        <f>IF('Fee Breakdown by Entity'!AL11="","",'Fee Breakdown by Entity'!AL11)</f>
        <v>0</v>
      </c>
      <c r="G5" t="s">
        <v>2648</v>
      </c>
      <c r="H5" t="s">
        <v>2649</v>
      </c>
    </row>
    <row r="6" spans="1:9" x14ac:dyDescent="0.35">
      <c r="A6" t="str">
        <f>'Fee Breakdown by Entity'!A12</f>
        <v>Bahamas</v>
      </c>
      <c r="B6" t="str">
        <f>'Fee Breakdown by Entity'!D12</f>
        <v>Bahamas ICON</v>
      </c>
      <c r="C6" t="str">
        <f>TRIM(SUBSTITUTE('Fee Breakdown by Entity'!AL$4,CHAR(10)," "))</f>
        <v>Bank Account Opening with Amicorp Bank &amp; Trust</v>
      </c>
      <c r="D6" t="s">
        <v>2643</v>
      </c>
      <c r="E6" t="s">
        <v>235</v>
      </c>
      <c r="F6" s="191">
        <f>IF('Fee Breakdown by Entity'!AL12="","",'Fee Breakdown by Entity'!AL12)</f>
        <v>0</v>
      </c>
      <c r="G6" t="s">
        <v>2648</v>
      </c>
      <c r="H6" t="s">
        <v>2649</v>
      </c>
    </row>
    <row r="7" spans="1:9" x14ac:dyDescent="0.35">
      <c r="A7" t="str">
        <f>'Fee Breakdown by Entity'!A21</f>
        <v>Brazil</v>
      </c>
      <c r="B7" t="str">
        <f>'Fee Breakdown by Entity'!D21</f>
        <v>Brazil FI</v>
      </c>
      <c r="C7" t="str">
        <f>TRIM(SUBSTITUTE('Fee Breakdown by Entity'!AL$4,CHAR(10)," "))</f>
        <v>Bank Account Opening with Amicorp Bank &amp; Trust</v>
      </c>
      <c r="D7" t="s">
        <v>2643</v>
      </c>
      <c r="E7" t="s">
        <v>235</v>
      </c>
      <c r="F7" s="191">
        <f>IF('Fee Breakdown by Entity'!AL21="","",'Fee Breakdown by Entity'!AL21)</f>
        <v>0</v>
      </c>
      <c r="G7" t="s">
        <v>2648</v>
      </c>
      <c r="H7" t="s">
        <v>2649</v>
      </c>
    </row>
    <row r="8" spans="1:9" x14ac:dyDescent="0.35">
      <c r="A8" t="str">
        <f>'Fee Breakdown by Entity'!A22</f>
        <v>Brazil</v>
      </c>
      <c r="B8" t="str">
        <f>'Fee Breakdown by Entity'!D22</f>
        <v>Brazil FIC</v>
      </c>
      <c r="C8" t="str">
        <f>TRIM(SUBSTITUTE('Fee Breakdown by Entity'!AL$4,CHAR(10)," "))</f>
        <v>Bank Account Opening with Amicorp Bank &amp; Trust</v>
      </c>
      <c r="D8" t="s">
        <v>2643</v>
      </c>
      <c r="E8" t="s">
        <v>235</v>
      </c>
      <c r="F8" s="191">
        <f>IF('Fee Breakdown by Entity'!AL22="","",'Fee Breakdown by Entity'!AL22)</f>
        <v>0</v>
      </c>
      <c r="G8" t="s">
        <v>2648</v>
      </c>
      <c r="H8" t="s">
        <v>2649</v>
      </c>
    </row>
    <row r="9" spans="1:9" x14ac:dyDescent="0.35">
      <c r="A9" t="str">
        <f>'Fee Breakdown by Entity'!A23</f>
        <v>Brazil</v>
      </c>
      <c r="B9" t="str">
        <f>'Fee Breakdown by Entity'!D23</f>
        <v>Brazil FIA</v>
      </c>
      <c r="C9" t="str">
        <f>TRIM(SUBSTITUTE('Fee Breakdown by Entity'!AL$4,CHAR(10)," "))</f>
        <v>Bank Account Opening with Amicorp Bank &amp; Trust</v>
      </c>
      <c r="D9" t="s">
        <v>2643</v>
      </c>
      <c r="E9" t="s">
        <v>235</v>
      </c>
      <c r="F9" s="191">
        <f>IF('Fee Breakdown by Entity'!AL23="","",'Fee Breakdown by Entity'!AL23)</f>
        <v>0</v>
      </c>
      <c r="G9" t="s">
        <v>2648</v>
      </c>
      <c r="H9" t="s">
        <v>2649</v>
      </c>
    </row>
    <row r="10" spans="1:9" x14ac:dyDescent="0.35">
      <c r="A10" t="str">
        <f>'Fee Breakdown by Entity'!A24</f>
        <v>Brazil</v>
      </c>
      <c r="B10" t="str">
        <f>'Fee Breakdown by Entity'!D24</f>
        <v>Brazil FIP</v>
      </c>
      <c r="C10" t="str">
        <f>TRIM(SUBSTITUTE('Fee Breakdown by Entity'!AL$4,CHAR(10)," "))</f>
        <v>Bank Account Opening with Amicorp Bank &amp; Trust</v>
      </c>
      <c r="D10" t="s">
        <v>2643</v>
      </c>
      <c r="E10" t="s">
        <v>235</v>
      </c>
      <c r="F10" s="191">
        <f>IF('Fee Breakdown by Entity'!AL24="","",'Fee Breakdown by Entity'!AL24)</f>
        <v>0</v>
      </c>
      <c r="G10" t="s">
        <v>2648</v>
      </c>
      <c r="H10" t="s">
        <v>2649</v>
      </c>
    </row>
    <row r="11" spans="1:9" x14ac:dyDescent="0.35">
      <c r="A11" t="str">
        <f>'Fee Breakdown by Entity'!A25</f>
        <v>Brazil</v>
      </c>
      <c r="B11" t="str">
        <f>'Fee Breakdown by Entity'!D25</f>
        <v>Brazil FII</v>
      </c>
      <c r="C11" t="str">
        <f>TRIM(SUBSTITUTE('Fee Breakdown by Entity'!AL$4,CHAR(10)," "))</f>
        <v>Bank Account Opening with Amicorp Bank &amp; Trust</v>
      </c>
      <c r="D11" t="s">
        <v>2643</v>
      </c>
      <c r="E11" t="s">
        <v>235</v>
      </c>
      <c r="F11" s="191">
        <f>IF('Fee Breakdown by Entity'!AL25="","",'Fee Breakdown by Entity'!AL25)</f>
        <v>0</v>
      </c>
      <c r="G11" t="s">
        <v>2648</v>
      </c>
      <c r="H11" t="s">
        <v>2649</v>
      </c>
    </row>
    <row r="12" spans="1:9" x14ac:dyDescent="0.35">
      <c r="A12" t="str">
        <f>'Fee Breakdown by Entity'!A26</f>
        <v>Brazil</v>
      </c>
      <c r="B12" t="str">
        <f>'Fee Breakdown by Entity'!D26</f>
        <v>Brazil FI-Infra</v>
      </c>
      <c r="C12" t="str">
        <f>TRIM(SUBSTITUTE('Fee Breakdown by Entity'!AL$4,CHAR(10)," "))</f>
        <v>Bank Account Opening with Amicorp Bank &amp; Trust</v>
      </c>
      <c r="D12" t="s">
        <v>2643</v>
      </c>
      <c r="E12" t="s">
        <v>235</v>
      </c>
      <c r="F12" s="191">
        <f>IF('Fee Breakdown by Entity'!AL26="","",'Fee Breakdown by Entity'!AL26)</f>
        <v>0</v>
      </c>
      <c r="G12" t="s">
        <v>2648</v>
      </c>
      <c r="H12" t="s">
        <v>2649</v>
      </c>
    </row>
    <row r="13" spans="1:9" x14ac:dyDescent="0.35">
      <c r="A13" t="str">
        <f>'Fee Breakdown by Entity'!A32</f>
        <v>British Virgin Islands</v>
      </c>
      <c r="B13" t="str">
        <f>'Fee Breakdown by Entity'!D32</f>
        <v>British Virgin Islands Ltd</v>
      </c>
      <c r="C13" t="str">
        <f>TRIM(SUBSTITUTE('Fee Breakdown by Entity'!AL$4,CHAR(10)," "))</f>
        <v>Bank Account Opening with Amicorp Bank &amp; Trust</v>
      </c>
      <c r="D13" t="s">
        <v>2643</v>
      </c>
      <c r="E13" t="s">
        <v>235</v>
      </c>
      <c r="F13" s="191">
        <f>IF('Fee Breakdown by Entity'!AL32="","",'Fee Breakdown by Entity'!AL32)</f>
        <v>0</v>
      </c>
      <c r="G13" t="s">
        <v>2648</v>
      </c>
      <c r="H13" t="s">
        <v>2649</v>
      </c>
    </row>
    <row r="14" spans="1:9" x14ac:dyDescent="0.35">
      <c r="A14" t="str">
        <f>'Fee Breakdown by Entity'!A33</f>
        <v>British Virgin Islands</v>
      </c>
      <c r="B14" t="str">
        <f>'Fee Breakdown by Entity'!D33</f>
        <v>British Virgin Islands LP</v>
      </c>
      <c r="C14" t="str">
        <f>TRIM(SUBSTITUTE('Fee Breakdown by Entity'!AL$4,CHAR(10)," "))</f>
        <v>Bank Account Opening with Amicorp Bank &amp; Trust</v>
      </c>
      <c r="D14" t="s">
        <v>2643</v>
      </c>
      <c r="E14" t="s">
        <v>235</v>
      </c>
      <c r="F14" s="191">
        <f>IF('Fee Breakdown by Entity'!AL33="","",'Fee Breakdown by Entity'!AL33)</f>
        <v>0</v>
      </c>
      <c r="G14" t="s">
        <v>2648</v>
      </c>
      <c r="H14" t="s">
        <v>2649</v>
      </c>
    </row>
    <row r="15" spans="1:9" x14ac:dyDescent="0.35">
      <c r="A15" t="str">
        <f>'Fee Breakdown by Entity'!A34</f>
        <v>British Virgin Islands</v>
      </c>
      <c r="B15" t="str">
        <f>'Fee Breakdown by Entity'!D34</f>
        <v>British Virgin Islands SPC</v>
      </c>
      <c r="C15" t="str">
        <f>TRIM(SUBSTITUTE('Fee Breakdown by Entity'!AL$4,CHAR(10)," "))</f>
        <v>Bank Account Opening with Amicorp Bank &amp; Trust</v>
      </c>
      <c r="D15" t="s">
        <v>2643</v>
      </c>
      <c r="E15" t="s">
        <v>235</v>
      </c>
      <c r="F15" s="191">
        <f>IF('Fee Breakdown by Entity'!AL34="","",'Fee Breakdown by Entity'!AL34)</f>
        <v>0</v>
      </c>
      <c r="G15" t="s">
        <v>2648</v>
      </c>
      <c r="H15" t="s">
        <v>2649</v>
      </c>
    </row>
    <row r="16" spans="1:9" x14ac:dyDescent="0.35">
      <c r="A16" t="str">
        <f>'Fee Breakdown by Entity'!A35</f>
        <v>British Virgin Islands</v>
      </c>
      <c r="B16" t="str">
        <f>'Fee Breakdown by Entity'!D35</f>
        <v>British Virgin Islands Unit Trust</v>
      </c>
      <c r="C16" t="str">
        <f>TRIM(SUBSTITUTE('Fee Breakdown by Entity'!AL$4,CHAR(10)," "))</f>
        <v>Bank Account Opening with Amicorp Bank &amp; Trust</v>
      </c>
      <c r="D16" t="s">
        <v>2643</v>
      </c>
      <c r="E16" t="s">
        <v>235</v>
      </c>
      <c r="F16" s="191">
        <f>IF('Fee Breakdown by Entity'!AL35="","",'Fee Breakdown by Entity'!AL35)</f>
        <v>0</v>
      </c>
      <c r="G16" t="s">
        <v>2648</v>
      </c>
      <c r="H16" t="s">
        <v>2649</v>
      </c>
    </row>
    <row r="17" spans="1:8" x14ac:dyDescent="0.35">
      <c r="A17" t="str">
        <f>'Fee Breakdown by Entity'!A36</f>
        <v>British Virgin Islands</v>
      </c>
      <c r="B17" t="str">
        <f>'Fee Breakdown by Entity'!D36</f>
        <v>British Virgin Islands LLP</v>
      </c>
      <c r="C17" t="str">
        <f>TRIM(SUBSTITUTE('Fee Breakdown by Entity'!AL$4,CHAR(10)," "))</f>
        <v>Bank Account Opening with Amicorp Bank &amp; Trust</v>
      </c>
      <c r="D17" t="s">
        <v>2643</v>
      </c>
      <c r="E17" t="s">
        <v>235</v>
      </c>
      <c r="F17" s="191">
        <f>IF('Fee Breakdown by Entity'!AL36="","",'Fee Breakdown by Entity'!AL36)</f>
        <v>0</v>
      </c>
      <c r="G17" t="s">
        <v>2648</v>
      </c>
      <c r="H17" t="s">
        <v>2649</v>
      </c>
    </row>
    <row r="18" spans="1:8" x14ac:dyDescent="0.35">
      <c r="A18" t="str">
        <f>'Fee Breakdown by Entity'!A42</f>
        <v>Barbados</v>
      </c>
      <c r="B18" t="str">
        <f>'Fee Breakdown by Entity'!D42</f>
        <v>Barbados Ltd</v>
      </c>
      <c r="C18" t="str">
        <f>TRIM(SUBSTITUTE('Fee Breakdown by Entity'!AL$4,CHAR(10)," "))</f>
        <v>Bank Account Opening with Amicorp Bank &amp; Trust</v>
      </c>
      <c r="D18" t="s">
        <v>2643</v>
      </c>
      <c r="E18" t="s">
        <v>235</v>
      </c>
      <c r="F18" s="191">
        <f>IF('Fee Breakdown by Entity'!AL42="","",'Fee Breakdown by Entity'!AL42)</f>
        <v>0</v>
      </c>
      <c r="G18" t="s">
        <v>2648</v>
      </c>
      <c r="H18" t="s">
        <v>2649</v>
      </c>
    </row>
    <row r="19" spans="1:8" x14ac:dyDescent="0.35">
      <c r="A19" t="str">
        <f>'Fee Breakdown by Entity'!A43</f>
        <v>Barbados</v>
      </c>
      <c r="B19" t="str">
        <f>'Fee Breakdown by Entity'!D43</f>
        <v>Barbados SRL</v>
      </c>
      <c r="C19" t="str">
        <f>TRIM(SUBSTITUTE('Fee Breakdown by Entity'!AL$4,CHAR(10)," "))</f>
        <v>Bank Account Opening with Amicorp Bank &amp; Trust</v>
      </c>
      <c r="D19" t="s">
        <v>2643</v>
      </c>
      <c r="E19" t="s">
        <v>235</v>
      </c>
      <c r="F19" s="191">
        <f>IF('Fee Breakdown by Entity'!AL43="","",'Fee Breakdown by Entity'!AL43)</f>
        <v>0</v>
      </c>
      <c r="G19" t="s">
        <v>2648</v>
      </c>
      <c r="H19" t="s">
        <v>2649</v>
      </c>
    </row>
    <row r="20" spans="1:8" x14ac:dyDescent="0.35">
      <c r="A20" t="str">
        <f>'Fee Breakdown by Entity'!A44</f>
        <v>Barbados</v>
      </c>
      <c r="B20" t="str">
        <f>'Fee Breakdown by Entity'!D44</f>
        <v>Barbados LP</v>
      </c>
      <c r="C20" t="str">
        <f>TRIM(SUBSTITUTE('Fee Breakdown by Entity'!AL$4,CHAR(10)," "))</f>
        <v>Bank Account Opening with Amicorp Bank &amp; Trust</v>
      </c>
      <c r="D20" t="s">
        <v>2643</v>
      </c>
      <c r="E20" t="s">
        <v>235</v>
      </c>
      <c r="F20" s="191">
        <f>IF('Fee Breakdown by Entity'!AL44="","",'Fee Breakdown by Entity'!AL44)</f>
        <v>0</v>
      </c>
      <c r="G20" t="s">
        <v>2648</v>
      </c>
      <c r="H20" t="s">
        <v>2649</v>
      </c>
    </row>
    <row r="21" spans="1:8" x14ac:dyDescent="0.35">
      <c r="A21" t="str">
        <f>'Fee Breakdown by Entity'!A45</f>
        <v>Barbados</v>
      </c>
      <c r="B21" t="str">
        <f>'Fee Breakdown by Entity'!D45</f>
        <v>Barbados Unit Trust</v>
      </c>
      <c r="C21" t="str">
        <f>TRIM(SUBSTITUTE('Fee Breakdown by Entity'!AL$4,CHAR(10)," "))</f>
        <v>Bank Account Opening with Amicorp Bank &amp; Trust</v>
      </c>
      <c r="D21" t="s">
        <v>2643</v>
      </c>
      <c r="E21" t="s">
        <v>235</v>
      </c>
      <c r="F21" s="191">
        <f>IF('Fee Breakdown by Entity'!AL45="","",'Fee Breakdown by Entity'!AL45)</f>
        <v>0</v>
      </c>
      <c r="G21" t="s">
        <v>2648</v>
      </c>
      <c r="H21" t="s">
        <v>2649</v>
      </c>
    </row>
    <row r="22" spans="1:8" x14ac:dyDescent="0.35">
      <c r="A22" t="str">
        <f>'Fee Breakdown by Entity'!A46</f>
        <v>Barbados</v>
      </c>
      <c r="B22" t="str">
        <f>'Fee Breakdown by Entity'!D46</f>
        <v>Barbados SCC</v>
      </c>
      <c r="C22" t="str">
        <f>TRIM(SUBSTITUTE('Fee Breakdown by Entity'!AL$4,CHAR(10)," "))</f>
        <v>Bank Account Opening with Amicorp Bank &amp; Trust</v>
      </c>
      <c r="D22" t="s">
        <v>2643</v>
      </c>
      <c r="E22" t="s">
        <v>235</v>
      </c>
      <c r="F22" s="191">
        <f>IF('Fee Breakdown by Entity'!AL46="","",'Fee Breakdown by Entity'!AL46)</f>
        <v>0</v>
      </c>
      <c r="G22" t="s">
        <v>2648</v>
      </c>
      <c r="H22" t="s">
        <v>2649</v>
      </c>
    </row>
    <row r="23" spans="1:8" x14ac:dyDescent="0.35">
      <c r="A23" t="str">
        <f>'Fee Breakdown by Entity'!A46</f>
        <v>Barbados</v>
      </c>
      <c r="B23" t="str">
        <f>'Fee Breakdown by Entity'!D46</f>
        <v>Barbados SCC</v>
      </c>
      <c r="C23" t="str">
        <f>TRIM(SUBSTITUTE('Fee Breakdown by Entity'!AP$4,CHAR(10)," "))</f>
        <v>Corporate Director Fee</v>
      </c>
      <c r="D23" t="s">
        <v>2639</v>
      </c>
      <c r="E23" t="s">
        <v>235</v>
      </c>
      <c r="F23" s="191">
        <f>IF('Fee Breakdown by Entity'!AP46="","",'Fee Breakdown by Entity'!AP46)</f>
        <v>3080</v>
      </c>
      <c r="G23" t="s">
        <v>2650</v>
      </c>
      <c r="H23" t="s">
        <v>2651</v>
      </c>
    </row>
    <row r="24" spans="1:8" x14ac:dyDescent="0.35">
      <c r="A24" t="str">
        <f>'Fee Breakdown by Entity'!A46</f>
        <v>Barbados</v>
      </c>
      <c r="B24" t="str">
        <f>'Fee Breakdown by Entity'!D46</f>
        <v>Barbados SCC</v>
      </c>
      <c r="C24" t="str">
        <f>TRIM(SUBSTITUTE('Fee Breakdown by Entity'!AT$4,CHAR(10)," "))</f>
        <v>Personal Director Fee</v>
      </c>
      <c r="D24" t="s">
        <v>2639</v>
      </c>
      <c r="E24" t="s">
        <v>2652</v>
      </c>
      <c r="F24" s="191">
        <f>IF('Fee Breakdown by Entity'!AT46="","",'Fee Breakdown by Entity'!AT46)</f>
        <v>4240</v>
      </c>
    </row>
    <row r="25" spans="1:8" x14ac:dyDescent="0.35">
      <c r="A25" t="str">
        <f>'Fee Breakdown by Entity'!A46</f>
        <v>Barbados</v>
      </c>
      <c r="B25" t="str">
        <f>'Fee Breakdown by Entity'!D46</f>
        <v>Barbados SCC</v>
      </c>
      <c r="C25" t="str">
        <f>TRIM(SUBSTITUTE('Fee Breakdown by Entity'!AV$4,CHAR(10)," "))</f>
        <v>Registered Office Fee</v>
      </c>
      <c r="D25" t="s">
        <v>2639</v>
      </c>
      <c r="E25" t="s">
        <v>235</v>
      </c>
      <c r="F25" s="191">
        <f>IF('Fee Breakdown by Entity'!AV46="","",'Fee Breakdown by Entity'!AV46)</f>
        <v>2960</v>
      </c>
    </row>
    <row r="26" spans="1:8" x14ac:dyDescent="0.35">
      <c r="A26" t="str">
        <f>'Fee Breakdown by Entity'!A46</f>
        <v>Barbados</v>
      </c>
      <c r="B26" t="str">
        <f>'Fee Breakdown by Entity'!D46</f>
        <v>Barbados SCC</v>
      </c>
      <c r="C26" t="str">
        <f>TRIM(SUBSTITUTE('Fee Breakdown by Entity'!AZ$4,CHAR(10)," "))</f>
        <v>Government Fee</v>
      </c>
      <c r="D26" t="s">
        <v>2639</v>
      </c>
      <c r="E26" t="s">
        <v>235</v>
      </c>
      <c r="F26" s="191">
        <f>IF('Fee Breakdown by Entity'!AZ46="","",'Fee Breakdown by Entity'!AZ46)</f>
        <v>500</v>
      </c>
    </row>
    <row r="27" spans="1:8" x14ac:dyDescent="0.35">
      <c r="A27" t="str">
        <f>'Fee Breakdown by Entity'!A59</f>
        <v>Cayman Islands</v>
      </c>
      <c r="B27" t="str">
        <f>'Fee Breakdown by Entity'!D59</f>
        <v>Cayman Islands Exempt Company</v>
      </c>
      <c r="C27" t="str">
        <f>TRIM(SUBSTITUTE('Fee Breakdown by Entity'!AL$4,CHAR(10)," "))</f>
        <v>Bank Account Opening with Amicorp Bank &amp; Trust</v>
      </c>
      <c r="D27" t="s">
        <v>2643</v>
      </c>
      <c r="E27" t="s">
        <v>235</v>
      </c>
      <c r="F27" s="191">
        <f>IF('Fee Breakdown by Entity'!AL59="","",'Fee Breakdown by Entity'!AL59)</f>
        <v>0</v>
      </c>
      <c r="G27" t="s">
        <v>2648</v>
      </c>
      <c r="H27" t="s">
        <v>2649</v>
      </c>
    </row>
    <row r="28" spans="1:8" x14ac:dyDescent="0.35">
      <c r="A28" t="str">
        <f>'Fee Breakdown by Entity'!A59</f>
        <v>Cayman Islands</v>
      </c>
      <c r="B28" t="str">
        <f>'Fee Breakdown by Entity'!D59</f>
        <v>Cayman Islands Exempt Company</v>
      </c>
      <c r="C28" t="str">
        <f>TRIM(SUBSTITUTE('Fee Breakdown by Entity'!AZ$4,CHAR(10)," "))</f>
        <v>Government Fee</v>
      </c>
      <c r="D28" t="s">
        <v>2639</v>
      </c>
      <c r="E28" t="s">
        <v>235</v>
      </c>
      <c r="F28" s="191">
        <f>IF('Fee Breakdown by Entity'!AZ59="","",'Fee Breakdown by Entity'!AZ59)</f>
        <v>1189.93</v>
      </c>
      <c r="G28" t="s">
        <v>2650</v>
      </c>
      <c r="H28" t="s">
        <v>2651</v>
      </c>
    </row>
    <row r="29" spans="1:8" x14ac:dyDescent="0.35">
      <c r="A29" t="str">
        <f>'Fee Breakdown by Entity'!A59</f>
        <v>Cayman Islands</v>
      </c>
      <c r="B29" t="str">
        <f>'Fee Breakdown by Entity'!D59</f>
        <v>Cayman Islands Exempt Company</v>
      </c>
      <c r="C29" t="str">
        <f>TRIM(SUBSTITUTE('Fee Breakdown by Entity'!BB$4,CHAR(10)," "))</f>
        <v>Regulatory Authority Fee</v>
      </c>
      <c r="D29" t="s">
        <v>2639</v>
      </c>
      <c r="E29" t="s">
        <v>235</v>
      </c>
      <c r="F29" s="191">
        <f>IF('Fee Breakdown by Entity'!BB59="","",'Fee Breakdown by Entity'!BB59)</f>
        <v>182.93</v>
      </c>
    </row>
    <row r="30" spans="1:8" x14ac:dyDescent="0.35">
      <c r="A30" t="str">
        <f>'Fee Breakdown by Entity'!A60</f>
        <v>Cayman Islands</v>
      </c>
      <c r="B30" t="str">
        <f>'Fee Breakdown by Entity'!D60</f>
        <v>Cayman Islands Exempt LP</v>
      </c>
      <c r="C30" t="str">
        <f>TRIM(SUBSTITUTE('Fee Breakdown by Entity'!AL$4,CHAR(10)," "))</f>
        <v>Bank Account Opening with Amicorp Bank &amp; Trust</v>
      </c>
      <c r="D30" t="s">
        <v>2643</v>
      </c>
      <c r="E30" t="s">
        <v>235</v>
      </c>
      <c r="F30" s="191">
        <f>IF('Fee Breakdown by Entity'!AL60="","",'Fee Breakdown by Entity'!AL60)</f>
        <v>0</v>
      </c>
      <c r="G30" t="s">
        <v>2648</v>
      </c>
      <c r="H30" t="s">
        <v>2649</v>
      </c>
    </row>
    <row r="31" spans="1:8" x14ac:dyDescent="0.35">
      <c r="A31" t="str">
        <f>'Fee Breakdown by Entity'!A60</f>
        <v>Cayman Islands</v>
      </c>
      <c r="B31" t="str">
        <f>'Fee Breakdown by Entity'!D60</f>
        <v>Cayman Islands Exempt LP</v>
      </c>
      <c r="C31" t="str">
        <f>TRIM(SUBSTITUTE('Fee Breakdown by Entity'!AZ$4,CHAR(10)," "))</f>
        <v>Government Fee</v>
      </c>
      <c r="D31" t="s">
        <v>2639</v>
      </c>
      <c r="E31" t="s">
        <v>235</v>
      </c>
      <c r="F31" s="191">
        <f>IF('Fee Breakdown by Entity'!AZ60="","",'Fee Breakdown by Entity'!AZ60)</f>
        <v>1189.93</v>
      </c>
      <c r="G31" t="s">
        <v>2650</v>
      </c>
      <c r="H31" t="s">
        <v>2651</v>
      </c>
    </row>
    <row r="32" spans="1:8" x14ac:dyDescent="0.35">
      <c r="A32" t="str">
        <f>'Fee Breakdown by Entity'!A60</f>
        <v>Cayman Islands</v>
      </c>
      <c r="B32" t="str">
        <f>'Fee Breakdown by Entity'!D60</f>
        <v>Cayman Islands Exempt LP</v>
      </c>
      <c r="C32" t="str">
        <f>TRIM(SUBSTITUTE('Fee Breakdown by Entity'!BB$4,CHAR(10)," "))</f>
        <v>Regulatory Authority Fee</v>
      </c>
      <c r="D32" t="s">
        <v>2639</v>
      </c>
      <c r="E32" t="s">
        <v>235</v>
      </c>
      <c r="F32" s="191">
        <f>IF('Fee Breakdown by Entity'!BB60="","",'Fee Breakdown by Entity'!BB60)</f>
        <v>182.93</v>
      </c>
    </row>
    <row r="33" spans="1:8" x14ac:dyDescent="0.35">
      <c r="A33" t="str">
        <f>'Fee Breakdown by Entity'!A61</f>
        <v>Cayman Islands</v>
      </c>
      <c r="B33" t="str">
        <f>'Fee Breakdown by Entity'!D61</f>
        <v>Cayman Islands LLC</v>
      </c>
      <c r="C33" t="str">
        <f>TRIM(SUBSTITUTE('Fee Breakdown by Entity'!AL$4,CHAR(10)," "))</f>
        <v>Bank Account Opening with Amicorp Bank &amp; Trust</v>
      </c>
      <c r="D33" t="s">
        <v>2643</v>
      </c>
      <c r="E33" t="s">
        <v>235</v>
      </c>
      <c r="F33" s="191">
        <f>IF('Fee Breakdown by Entity'!AL61="","",'Fee Breakdown by Entity'!AL61)</f>
        <v>0</v>
      </c>
      <c r="G33" t="s">
        <v>2648</v>
      </c>
      <c r="H33" t="s">
        <v>2649</v>
      </c>
    </row>
    <row r="34" spans="1:8" x14ac:dyDescent="0.35">
      <c r="A34" t="str">
        <f>'Fee Breakdown by Entity'!A61</f>
        <v>Cayman Islands</v>
      </c>
      <c r="B34" t="str">
        <f>'Fee Breakdown by Entity'!D61</f>
        <v>Cayman Islands LLC</v>
      </c>
      <c r="C34" t="str">
        <f>TRIM(SUBSTITUTE('Fee Breakdown by Entity'!AZ$4,CHAR(10)," "))</f>
        <v>Government Fee</v>
      </c>
      <c r="D34" t="s">
        <v>2639</v>
      </c>
      <c r="E34" t="s">
        <v>235</v>
      </c>
      <c r="F34" s="191">
        <f>IF('Fee Breakdown by Entity'!AZ61="","",'Fee Breakdown by Entity'!AZ61)</f>
        <v>1189.93</v>
      </c>
      <c r="G34" t="s">
        <v>2650</v>
      </c>
      <c r="H34" t="s">
        <v>2651</v>
      </c>
    </row>
    <row r="35" spans="1:8" x14ac:dyDescent="0.35">
      <c r="A35" t="str">
        <f>'Fee Breakdown by Entity'!A61</f>
        <v>Cayman Islands</v>
      </c>
      <c r="B35" t="str">
        <f>'Fee Breakdown by Entity'!D61</f>
        <v>Cayman Islands LLC</v>
      </c>
      <c r="C35" t="str">
        <f>TRIM(SUBSTITUTE('Fee Breakdown by Entity'!BB$4,CHAR(10)," "))</f>
        <v>Regulatory Authority Fee</v>
      </c>
      <c r="D35" t="s">
        <v>2639</v>
      </c>
      <c r="E35" t="s">
        <v>235</v>
      </c>
      <c r="F35" s="191">
        <f>IF('Fee Breakdown by Entity'!BB61="","",'Fee Breakdown by Entity'!BB61)</f>
        <v>182.93</v>
      </c>
    </row>
    <row r="36" spans="1:8" x14ac:dyDescent="0.35">
      <c r="A36" t="str">
        <f>'Fee Breakdown by Entity'!A62</f>
        <v>Cayman Islands</v>
      </c>
      <c r="B36" t="str">
        <f>'Fee Breakdown by Entity'!D62</f>
        <v>Cayman Islands SPC</v>
      </c>
      <c r="C36" t="str">
        <f>TRIM(SUBSTITUTE('Fee Breakdown by Entity'!AL$4,CHAR(10)," "))</f>
        <v>Bank Account Opening with Amicorp Bank &amp; Trust</v>
      </c>
      <c r="D36" t="s">
        <v>2643</v>
      </c>
      <c r="E36" t="s">
        <v>235</v>
      </c>
      <c r="F36" s="191">
        <f>IF('Fee Breakdown by Entity'!AL62="","",'Fee Breakdown by Entity'!AL62)</f>
        <v>0</v>
      </c>
      <c r="G36" t="s">
        <v>2648</v>
      </c>
      <c r="H36" t="s">
        <v>2649</v>
      </c>
    </row>
    <row r="37" spans="1:8" x14ac:dyDescent="0.35">
      <c r="A37" t="str">
        <f>'Fee Breakdown by Entity'!A62</f>
        <v>Cayman Islands</v>
      </c>
      <c r="B37" t="str">
        <f>'Fee Breakdown by Entity'!D62</f>
        <v>Cayman Islands SPC</v>
      </c>
      <c r="C37" t="str">
        <f>TRIM(SUBSTITUTE('Fee Breakdown by Entity'!AZ$4,CHAR(10)," "))</f>
        <v>Government Fee</v>
      </c>
      <c r="D37" t="s">
        <v>2639</v>
      </c>
      <c r="E37" t="s">
        <v>235</v>
      </c>
      <c r="F37" s="191">
        <f>IF('Fee Breakdown by Entity'!AZ62="","",'Fee Breakdown by Entity'!AZ62)</f>
        <v>3446</v>
      </c>
      <c r="G37" t="s">
        <v>2650</v>
      </c>
      <c r="H37" t="s">
        <v>2651</v>
      </c>
    </row>
    <row r="38" spans="1:8" x14ac:dyDescent="0.35">
      <c r="A38" t="str">
        <f>'Fee Breakdown by Entity'!A62</f>
        <v>Cayman Islands</v>
      </c>
      <c r="B38" t="str">
        <f>'Fee Breakdown by Entity'!D62</f>
        <v>Cayman Islands SPC</v>
      </c>
      <c r="C38" t="str">
        <f>TRIM(SUBSTITUTE('Fee Breakdown by Entity'!BB$4,CHAR(10)," "))</f>
        <v>Regulatory Authority Fee</v>
      </c>
      <c r="D38" t="s">
        <v>2639</v>
      </c>
      <c r="E38" t="s">
        <v>235</v>
      </c>
      <c r="F38" s="191">
        <f>IF('Fee Breakdown by Entity'!BB62="","",'Fee Breakdown by Entity'!BB62)</f>
        <v>182.93</v>
      </c>
    </row>
    <row r="39" spans="1:8" x14ac:dyDescent="0.35">
      <c r="A39" t="str">
        <f>'Fee Breakdown by Entity'!A63</f>
        <v>Cayman Islands</v>
      </c>
      <c r="B39" t="str">
        <f>'Fee Breakdown by Entity'!D63</f>
        <v>Cayman Islands Unit Trust</v>
      </c>
      <c r="C39" t="str">
        <f>TRIM(SUBSTITUTE('Fee Breakdown by Entity'!AL$4,CHAR(10)," "))</f>
        <v>Bank Account Opening with Amicorp Bank &amp; Trust</v>
      </c>
      <c r="D39" t="s">
        <v>2643</v>
      </c>
      <c r="E39" t="s">
        <v>235</v>
      </c>
      <c r="F39" s="191">
        <f>IF('Fee Breakdown by Entity'!AL63="","",'Fee Breakdown by Entity'!AL63)</f>
        <v>0</v>
      </c>
      <c r="G39" t="s">
        <v>2648</v>
      </c>
      <c r="H39" t="s">
        <v>2649</v>
      </c>
    </row>
    <row r="40" spans="1:8" x14ac:dyDescent="0.35">
      <c r="A40" t="str">
        <f>'Fee Breakdown by Entity'!A63</f>
        <v>Cayman Islands</v>
      </c>
      <c r="B40" t="str">
        <f>'Fee Breakdown by Entity'!D63</f>
        <v>Cayman Islands Unit Trust</v>
      </c>
      <c r="C40" t="str">
        <f>TRIM(SUBSTITUTE('Fee Breakdown by Entity'!AZ$4,CHAR(10)," "))</f>
        <v>Government Fee</v>
      </c>
      <c r="D40" t="s">
        <v>2639</v>
      </c>
      <c r="E40" t="s">
        <v>235</v>
      </c>
      <c r="F40" s="191">
        <f>IF('Fee Breakdown by Entity'!AZ63="","",'Fee Breakdown by Entity'!AZ63)</f>
        <v>1189.93</v>
      </c>
      <c r="G40" t="s">
        <v>2650</v>
      </c>
      <c r="H40" t="s">
        <v>2651</v>
      </c>
    </row>
    <row r="41" spans="1:8" x14ac:dyDescent="0.35">
      <c r="A41" t="str">
        <f>'Fee Breakdown by Entity'!A63</f>
        <v>Cayman Islands</v>
      </c>
      <c r="B41" t="str">
        <f>'Fee Breakdown by Entity'!D63</f>
        <v>Cayman Islands Unit Trust</v>
      </c>
      <c r="C41" t="str">
        <f>TRIM(SUBSTITUTE('Fee Breakdown by Entity'!BB$4,CHAR(10)," "))</f>
        <v>Regulatory Authority Fee</v>
      </c>
      <c r="D41" t="s">
        <v>2639</v>
      </c>
      <c r="E41" t="s">
        <v>235</v>
      </c>
      <c r="F41" s="191">
        <f>IF('Fee Breakdown by Entity'!BB63="","",'Fee Breakdown by Entity'!BB63)</f>
        <v>182.93</v>
      </c>
    </row>
    <row r="42" spans="1:8" x14ac:dyDescent="0.35">
      <c r="A42" t="str">
        <f>'Fee Breakdown by Entity'!A69</f>
        <v>Chile</v>
      </c>
      <c r="B42" t="str">
        <f>'Fee Breakdown by Entity'!D69</f>
        <v>Chile Fondo de Inversion Publico</v>
      </c>
      <c r="C42" t="str">
        <f>TRIM(SUBSTITUTE('Fee Breakdown by Entity'!AL$4,CHAR(10)," "))</f>
        <v>Bank Account Opening with Amicorp Bank &amp; Trust</v>
      </c>
      <c r="D42" t="s">
        <v>2643</v>
      </c>
      <c r="E42" t="s">
        <v>235</v>
      </c>
      <c r="F42" s="191">
        <f>IF('Fee Breakdown by Entity'!AL69="","",'Fee Breakdown by Entity'!AL69)</f>
        <v>0</v>
      </c>
      <c r="G42" t="s">
        <v>2648</v>
      </c>
      <c r="H42" t="s">
        <v>2649</v>
      </c>
    </row>
    <row r="43" spans="1:8" x14ac:dyDescent="0.35">
      <c r="A43" t="str">
        <f>'Fee Breakdown by Entity'!A70</f>
        <v>Chile</v>
      </c>
      <c r="B43" t="str">
        <f>'Fee Breakdown by Entity'!D70</f>
        <v>Chile Fondo de Inversion Privado</v>
      </c>
      <c r="C43" t="str">
        <f>TRIM(SUBSTITUTE('Fee Breakdown by Entity'!AL$4,CHAR(10)," "))</f>
        <v>Bank Account Opening with Amicorp Bank &amp; Trust</v>
      </c>
      <c r="D43" t="s">
        <v>2643</v>
      </c>
      <c r="E43" t="s">
        <v>235</v>
      </c>
      <c r="F43" s="191">
        <f>IF('Fee Breakdown by Entity'!AL70="","",'Fee Breakdown by Entity'!AL70)</f>
        <v>0</v>
      </c>
      <c r="G43" t="s">
        <v>2648</v>
      </c>
      <c r="H43" t="s">
        <v>2649</v>
      </c>
    </row>
    <row r="44" spans="1:8" x14ac:dyDescent="0.35">
      <c r="A44" t="str">
        <f>'Fee Breakdown by Entity'!A71</f>
        <v>Chile</v>
      </c>
      <c r="B44" t="str">
        <f>'Fee Breakdown by Entity'!D71</f>
        <v>Chile Fondo de Inversion Inmobiliario</v>
      </c>
      <c r="C44" t="str">
        <f>TRIM(SUBSTITUTE('Fee Breakdown by Entity'!AL$4,CHAR(10)," "))</f>
        <v>Bank Account Opening with Amicorp Bank &amp; Trust</v>
      </c>
      <c r="D44" t="s">
        <v>2643</v>
      </c>
      <c r="E44" t="s">
        <v>235</v>
      </c>
      <c r="F44" s="191">
        <f>IF('Fee Breakdown by Entity'!AL71="","",'Fee Breakdown by Entity'!AL71)</f>
        <v>0</v>
      </c>
      <c r="G44" t="s">
        <v>2648</v>
      </c>
      <c r="H44" t="s">
        <v>2649</v>
      </c>
    </row>
    <row r="45" spans="1:8" x14ac:dyDescent="0.35">
      <c r="A45" t="str">
        <f>'Fee Breakdown by Entity'!A72</f>
        <v>Chile</v>
      </c>
      <c r="B45" t="str">
        <f>'Fee Breakdown by Entity'!D72</f>
        <v>Chile Fondo Extranjero</v>
      </c>
      <c r="C45" t="str">
        <f>TRIM(SUBSTITUTE('Fee Breakdown by Entity'!AL$4,CHAR(10)," "))</f>
        <v>Bank Account Opening with Amicorp Bank &amp; Trust</v>
      </c>
      <c r="D45" t="s">
        <v>2643</v>
      </c>
      <c r="E45" t="s">
        <v>235</v>
      </c>
      <c r="F45" s="191">
        <f>IF('Fee Breakdown by Entity'!AL72="","",'Fee Breakdown by Entity'!AL72)</f>
        <v>0</v>
      </c>
      <c r="G45" t="s">
        <v>2648</v>
      </c>
      <c r="H45" t="s">
        <v>2649</v>
      </c>
    </row>
    <row r="46" spans="1:8" x14ac:dyDescent="0.35">
      <c r="A46" t="str">
        <f>'Fee Breakdown by Entity'!A73</f>
        <v>Chile</v>
      </c>
      <c r="B46" t="str">
        <f>'Fee Breakdown by Entity'!D73</f>
        <v>Chile Fondo Mutuo</v>
      </c>
      <c r="C46" t="str">
        <f>TRIM(SUBSTITUTE('Fee Breakdown by Entity'!AL$4,CHAR(10)," "))</f>
        <v>Bank Account Opening with Amicorp Bank &amp; Trust</v>
      </c>
      <c r="D46" t="s">
        <v>2643</v>
      </c>
      <c r="E46" t="s">
        <v>235</v>
      </c>
      <c r="F46" s="191">
        <f>IF('Fee Breakdown by Entity'!AL73="","",'Fee Breakdown by Entity'!AL73)</f>
        <v>0</v>
      </c>
      <c r="G46" t="s">
        <v>2648</v>
      </c>
      <c r="H46" t="s">
        <v>2649</v>
      </c>
    </row>
    <row r="47" spans="1:8" x14ac:dyDescent="0.35">
      <c r="A47" t="str">
        <f>'Fee Breakdown by Entity'!A80</f>
        <v>Curacao</v>
      </c>
      <c r="B47" t="str">
        <f>'Fee Breakdown by Entity'!D80</f>
        <v>Curacao NV</v>
      </c>
      <c r="C47" t="str">
        <f>TRIM(SUBSTITUTE('Fee Breakdown by Entity'!AL$4,CHAR(10)," "))</f>
        <v>Bank Account Opening with Amicorp Bank &amp; Trust</v>
      </c>
      <c r="D47" t="s">
        <v>2643</v>
      </c>
      <c r="E47" t="s">
        <v>235</v>
      </c>
      <c r="F47" s="191">
        <f>IF('Fee Breakdown by Entity'!AL80="","",'Fee Breakdown by Entity'!AL80)</f>
        <v>0</v>
      </c>
      <c r="G47" t="s">
        <v>2648</v>
      </c>
      <c r="H47" t="s">
        <v>2649</v>
      </c>
    </row>
    <row r="48" spans="1:8" x14ac:dyDescent="0.35">
      <c r="A48" t="str">
        <f>'Fee Breakdown by Entity'!A80</f>
        <v>Curacao</v>
      </c>
      <c r="B48" t="str">
        <f>'Fee Breakdown by Entity'!D80</f>
        <v>Curacao NV</v>
      </c>
      <c r="C48" t="str">
        <f>TRIM(SUBSTITUTE('Fee Breakdown by Entity'!AP$4,CHAR(10)," "))</f>
        <v>Corporate Director Fee</v>
      </c>
      <c r="D48" t="s">
        <v>2639</v>
      </c>
      <c r="E48" t="s">
        <v>235</v>
      </c>
      <c r="F48" s="191">
        <f>IF('Fee Breakdown by Entity'!AP80="","",'Fee Breakdown by Entity'!AP80)</f>
        <v>2650</v>
      </c>
      <c r="G48" t="s">
        <v>2650</v>
      </c>
      <c r="H48" t="s">
        <v>2651</v>
      </c>
    </row>
    <row r="49" spans="1:8" x14ac:dyDescent="0.35">
      <c r="A49" t="str">
        <f>'Fee Breakdown by Entity'!A80</f>
        <v>Curacao</v>
      </c>
      <c r="B49" t="str">
        <f>'Fee Breakdown by Entity'!D80</f>
        <v>Curacao NV</v>
      </c>
      <c r="C49" t="str">
        <f>TRIM(SUBSTITUTE('Fee Breakdown by Entity'!AV$4,CHAR(10)," "))</f>
        <v>Registered Office Fee</v>
      </c>
      <c r="D49" t="s">
        <v>2639</v>
      </c>
      <c r="E49" t="s">
        <v>2652</v>
      </c>
      <c r="F49" s="191">
        <f>IF('Fee Breakdown by Entity'!AV80="","",'Fee Breakdown by Entity'!AV80)</f>
        <v>2230</v>
      </c>
    </row>
    <row r="50" spans="1:8" x14ac:dyDescent="0.35">
      <c r="A50" t="str">
        <f>'Fee Breakdown by Entity'!A80</f>
        <v>Curacao</v>
      </c>
      <c r="B50" t="str">
        <f>'Fee Breakdown by Entity'!D80</f>
        <v>Curacao NV</v>
      </c>
      <c r="C50" t="str">
        <f>TRIM(SUBSTITUTE('Fee Breakdown by Entity'!AZ$4,CHAR(10)," "))</f>
        <v>Government Fee</v>
      </c>
      <c r="D50" t="s">
        <v>2639</v>
      </c>
      <c r="E50" t="s">
        <v>235</v>
      </c>
      <c r="F50" s="191">
        <f>IF('Fee Breakdown by Entity'!AZ80="","",'Fee Breakdown by Entity'!AZ80)</f>
        <v>75</v>
      </c>
    </row>
    <row r="51" spans="1:8" x14ac:dyDescent="0.35">
      <c r="A51" t="str">
        <f>'Fee Breakdown by Entity'!A81</f>
        <v>Curacao</v>
      </c>
      <c r="B51" t="str">
        <f>'Fee Breakdown by Entity'!D81</f>
        <v>Curacao BV</v>
      </c>
      <c r="C51" t="str">
        <f>TRIM(SUBSTITUTE('Fee Breakdown by Entity'!AL$4,CHAR(10)," "))</f>
        <v>Bank Account Opening with Amicorp Bank &amp; Trust</v>
      </c>
      <c r="D51" t="s">
        <v>2643</v>
      </c>
      <c r="E51" t="s">
        <v>235</v>
      </c>
      <c r="F51" s="191">
        <f>IF('Fee Breakdown by Entity'!AL81="","",'Fee Breakdown by Entity'!AL81)</f>
        <v>0</v>
      </c>
      <c r="G51" t="s">
        <v>2648</v>
      </c>
      <c r="H51" t="s">
        <v>2649</v>
      </c>
    </row>
    <row r="52" spans="1:8" x14ac:dyDescent="0.35">
      <c r="A52" t="str">
        <f>'Fee Breakdown by Entity'!A82</f>
        <v>Curacao</v>
      </c>
      <c r="B52" t="str">
        <f>'Fee Breakdown by Entity'!D82</f>
        <v>Curacao CV</v>
      </c>
      <c r="C52" t="str">
        <f>TRIM(SUBSTITUTE('Fee Breakdown by Entity'!AL$4,CHAR(10)," "))</f>
        <v>Bank Account Opening with Amicorp Bank &amp; Trust</v>
      </c>
      <c r="D52" t="s">
        <v>2643</v>
      </c>
      <c r="E52" t="s">
        <v>235</v>
      </c>
      <c r="F52" s="191">
        <f>IF('Fee Breakdown by Entity'!AL82="","",'Fee Breakdown by Entity'!AL82)</f>
        <v>0</v>
      </c>
      <c r="G52" t="s">
        <v>2648</v>
      </c>
      <c r="H52" t="s">
        <v>2649</v>
      </c>
    </row>
    <row r="53" spans="1:8" x14ac:dyDescent="0.35">
      <c r="A53" t="str">
        <f>'Fee Breakdown by Entity'!A85</f>
        <v>Curacao</v>
      </c>
      <c r="B53" t="str">
        <f>'Fee Breakdown by Entity'!D85</f>
        <v>Curacao Trust</v>
      </c>
      <c r="C53" t="str">
        <f>TRIM(SUBSTITUTE('Fee Breakdown by Entity'!AL$4,CHAR(10)," "))</f>
        <v>Bank Account Opening with Amicorp Bank &amp; Trust</v>
      </c>
      <c r="D53" t="s">
        <v>2643</v>
      </c>
      <c r="E53" t="s">
        <v>235</v>
      </c>
      <c r="F53" s="191">
        <f>IF('Fee Breakdown by Entity'!AL85="","",'Fee Breakdown by Entity'!AL85)</f>
        <v>0</v>
      </c>
      <c r="G53" t="s">
        <v>2648</v>
      </c>
      <c r="H53" t="s">
        <v>2649</v>
      </c>
    </row>
    <row r="54" spans="1:8" x14ac:dyDescent="0.35">
      <c r="A54" t="str">
        <f>'Fee Breakdown by Entity'!A86</f>
        <v>Curacao</v>
      </c>
      <c r="B54" t="str">
        <f>'Fee Breakdown by Entity'!D86</f>
        <v>Curacao FGR</v>
      </c>
      <c r="C54" t="str">
        <f>TRIM(SUBSTITUTE('Fee Breakdown by Entity'!AL$4,CHAR(10)," "))</f>
        <v>Bank Account Opening with Amicorp Bank &amp; Trust</v>
      </c>
      <c r="D54" t="s">
        <v>2643</v>
      </c>
      <c r="E54" t="s">
        <v>235</v>
      </c>
      <c r="F54" s="191">
        <f>IF('Fee Breakdown by Entity'!AL86="","",'Fee Breakdown by Entity'!AL86)</f>
        <v>0</v>
      </c>
      <c r="G54" t="s">
        <v>2648</v>
      </c>
      <c r="H54" t="s">
        <v>2649</v>
      </c>
    </row>
    <row r="55" spans="1:8" x14ac:dyDescent="0.35">
      <c r="A55" t="str">
        <f>'Fee Breakdown by Entity'!A92</f>
        <v>Cyprus</v>
      </c>
      <c r="B55" t="str">
        <f>'Fee Breakdown by Entity'!D92</f>
        <v>Cyprus VCIC</v>
      </c>
      <c r="C55" t="str">
        <f>TRIM(SUBSTITUTE('Fee Breakdown by Entity'!AL$4,CHAR(10)," "))</f>
        <v>Bank Account Opening with Amicorp Bank &amp; Trust</v>
      </c>
      <c r="D55" t="s">
        <v>2643</v>
      </c>
      <c r="E55" t="s">
        <v>235</v>
      </c>
      <c r="F55" s="191">
        <f>IF('Fee Breakdown by Entity'!AL92="","",'Fee Breakdown by Entity'!AL92)</f>
        <v>0</v>
      </c>
      <c r="G55" t="s">
        <v>2648</v>
      </c>
      <c r="H55" t="s">
        <v>2649</v>
      </c>
    </row>
    <row r="56" spans="1:8" x14ac:dyDescent="0.35">
      <c r="A56" t="str">
        <f>'Fee Breakdown by Entity'!A92</f>
        <v>Cyprus</v>
      </c>
      <c r="B56" t="str">
        <f>'Fee Breakdown by Entity'!D92</f>
        <v>Cyprus VCIC</v>
      </c>
      <c r="C56" t="str">
        <f>TRIM(SUBSTITUTE('Fee Breakdown by Entity'!AP$4,CHAR(10)," "))</f>
        <v>Corporate Director Fee</v>
      </c>
      <c r="D56" t="s">
        <v>2639</v>
      </c>
      <c r="E56" t="s">
        <v>235</v>
      </c>
      <c r="F56" s="191">
        <f>IF('Fee Breakdown by Entity'!AP92="","",'Fee Breakdown by Entity'!AP92)</f>
        <v>1400</v>
      </c>
      <c r="G56" t="s">
        <v>2650</v>
      </c>
      <c r="H56" t="s">
        <v>2651</v>
      </c>
    </row>
    <row r="57" spans="1:8" x14ac:dyDescent="0.35">
      <c r="A57" t="str">
        <f>'Fee Breakdown by Entity'!A92</f>
        <v>Cyprus</v>
      </c>
      <c r="B57" t="str">
        <f>'Fee Breakdown by Entity'!D92</f>
        <v>Cyprus VCIC</v>
      </c>
      <c r="C57" t="str">
        <f>TRIM(SUBSTITUTE('Fee Breakdown by Entity'!AT$4,CHAR(10)," "))</f>
        <v>Personal Director Fee</v>
      </c>
      <c r="D57" t="s">
        <v>2639</v>
      </c>
      <c r="E57" t="s">
        <v>2652</v>
      </c>
      <c r="F57" s="191">
        <f>IF('Fee Breakdown by Entity'!AT92="","",'Fee Breakdown by Entity'!AT92)</f>
        <v>3600</v>
      </c>
    </row>
    <row r="58" spans="1:8" x14ac:dyDescent="0.35">
      <c r="A58" t="str">
        <f>'Fee Breakdown by Entity'!A92</f>
        <v>Cyprus</v>
      </c>
      <c r="B58" t="str">
        <f>'Fee Breakdown by Entity'!D92</f>
        <v>Cyprus VCIC</v>
      </c>
      <c r="C58" t="str">
        <f>TRIM(SUBSTITUTE('Fee Breakdown by Entity'!AV$4,CHAR(10)," "))</f>
        <v>Registered Office Fee</v>
      </c>
      <c r="D58" t="s">
        <v>2639</v>
      </c>
      <c r="E58" t="s">
        <v>235</v>
      </c>
      <c r="F58" s="191">
        <f>IF('Fee Breakdown by Entity'!AV92="","",'Fee Breakdown by Entity'!AV92)</f>
        <v>425</v>
      </c>
    </row>
    <row r="59" spans="1:8" x14ac:dyDescent="0.35">
      <c r="A59" t="str">
        <f>'Fee Breakdown by Entity'!A92</f>
        <v>Cyprus</v>
      </c>
      <c r="B59" t="str">
        <f>'Fee Breakdown by Entity'!D92</f>
        <v>Cyprus VCIC</v>
      </c>
      <c r="C59" t="str">
        <f>TRIM(SUBSTITUTE('Fee Breakdown by Entity'!AX$4,CHAR(10)," "))</f>
        <v>Corporate Secretary Fee</v>
      </c>
      <c r="D59" t="s">
        <v>2639</v>
      </c>
      <c r="E59" t="s">
        <v>235</v>
      </c>
      <c r="F59" s="191">
        <f>IF('Fee Breakdown by Entity'!AX92="","",'Fee Breakdown by Entity'!AX92)</f>
        <v>550</v>
      </c>
    </row>
    <row r="60" spans="1:8" x14ac:dyDescent="0.35">
      <c r="A60" t="str">
        <f>'Fee Breakdown by Entity'!A93</f>
        <v>Cyprus</v>
      </c>
      <c r="B60" t="str">
        <f>'Fee Breakdown by Entity'!D93</f>
        <v>Cyprus FCIC</v>
      </c>
      <c r="C60" t="str">
        <f>TRIM(SUBSTITUTE('Fee Breakdown by Entity'!AL$4,CHAR(10)," "))</f>
        <v>Bank Account Opening with Amicorp Bank &amp; Trust</v>
      </c>
      <c r="D60" t="s">
        <v>2643</v>
      </c>
      <c r="E60" t="s">
        <v>235</v>
      </c>
      <c r="F60" s="191">
        <f>IF('Fee Breakdown by Entity'!AL93="","",'Fee Breakdown by Entity'!AL93)</f>
        <v>0</v>
      </c>
      <c r="G60" t="s">
        <v>2648</v>
      </c>
      <c r="H60" t="s">
        <v>2649</v>
      </c>
    </row>
    <row r="61" spans="1:8" x14ac:dyDescent="0.35">
      <c r="A61" t="str">
        <f>'Fee Breakdown by Entity'!A93</f>
        <v>Cyprus</v>
      </c>
      <c r="B61" t="str">
        <f>'Fee Breakdown by Entity'!D93</f>
        <v>Cyprus FCIC</v>
      </c>
      <c r="C61" t="str">
        <f>TRIM(SUBSTITUTE('Fee Breakdown by Entity'!AP$4,CHAR(10)," "))</f>
        <v>Corporate Director Fee</v>
      </c>
      <c r="D61" t="s">
        <v>2639</v>
      </c>
      <c r="E61" t="s">
        <v>235</v>
      </c>
      <c r="F61" s="191">
        <f>IF('Fee Breakdown by Entity'!AP93="","",'Fee Breakdown by Entity'!AP93)</f>
        <v>1400</v>
      </c>
      <c r="G61" t="s">
        <v>2650</v>
      </c>
      <c r="H61" t="s">
        <v>2651</v>
      </c>
    </row>
    <row r="62" spans="1:8" x14ac:dyDescent="0.35">
      <c r="A62" t="str">
        <f>'Fee Breakdown by Entity'!A93</f>
        <v>Cyprus</v>
      </c>
      <c r="B62" t="str">
        <f>'Fee Breakdown by Entity'!D93</f>
        <v>Cyprus FCIC</v>
      </c>
      <c r="C62" t="str">
        <f>TRIM(SUBSTITUTE('Fee Breakdown by Entity'!AT$4,CHAR(10)," "))</f>
        <v>Personal Director Fee</v>
      </c>
      <c r="D62" t="s">
        <v>2639</v>
      </c>
      <c r="E62" t="s">
        <v>2652</v>
      </c>
      <c r="F62" s="191">
        <f>IF('Fee Breakdown by Entity'!AT93="","",'Fee Breakdown by Entity'!AT93)</f>
        <v>3600</v>
      </c>
    </row>
    <row r="63" spans="1:8" x14ac:dyDescent="0.35">
      <c r="A63" t="str">
        <f>'Fee Breakdown by Entity'!A93</f>
        <v>Cyprus</v>
      </c>
      <c r="B63" t="str">
        <f>'Fee Breakdown by Entity'!D93</f>
        <v>Cyprus FCIC</v>
      </c>
      <c r="C63" t="str">
        <f>TRIM(SUBSTITUTE('Fee Breakdown by Entity'!AV$4,CHAR(10)," "))</f>
        <v>Registered Office Fee</v>
      </c>
      <c r="D63" t="s">
        <v>2639</v>
      </c>
      <c r="E63" t="s">
        <v>235</v>
      </c>
      <c r="F63" s="191">
        <f>IF('Fee Breakdown by Entity'!AV93="","",'Fee Breakdown by Entity'!AV93)</f>
        <v>425</v>
      </c>
    </row>
    <row r="64" spans="1:8" x14ac:dyDescent="0.35">
      <c r="A64" t="str">
        <f>'Fee Breakdown by Entity'!A93</f>
        <v>Cyprus</v>
      </c>
      <c r="B64" t="str">
        <f>'Fee Breakdown by Entity'!D93</f>
        <v>Cyprus FCIC</v>
      </c>
      <c r="C64" t="str">
        <f>TRIM(SUBSTITUTE('Fee Breakdown by Entity'!AX$4,CHAR(10)," "))</f>
        <v>Corporate Secretary Fee</v>
      </c>
      <c r="D64" t="s">
        <v>2639</v>
      </c>
      <c r="E64" t="s">
        <v>235</v>
      </c>
      <c r="F64" s="191">
        <f>IF('Fee Breakdown by Entity'!AX93="","",'Fee Breakdown by Entity'!AX93)</f>
        <v>550</v>
      </c>
    </row>
    <row r="65" spans="1:8" x14ac:dyDescent="0.35">
      <c r="A65" t="str">
        <f>'Fee Breakdown by Entity'!A94</f>
        <v>Cyprus</v>
      </c>
      <c r="B65" t="str">
        <f>'Fee Breakdown by Entity'!D94</f>
        <v>Cyprus LP</v>
      </c>
      <c r="C65" t="str">
        <f>TRIM(SUBSTITUTE('Fee Breakdown by Entity'!AL$4,CHAR(10)," "))</f>
        <v>Bank Account Opening with Amicorp Bank &amp; Trust</v>
      </c>
      <c r="D65" t="s">
        <v>2643</v>
      </c>
      <c r="E65" t="s">
        <v>235</v>
      </c>
      <c r="F65" s="191">
        <f>IF('Fee Breakdown by Entity'!AL94="","",'Fee Breakdown by Entity'!AL94)</f>
        <v>0</v>
      </c>
      <c r="G65" t="s">
        <v>2648</v>
      </c>
      <c r="H65" t="s">
        <v>2649</v>
      </c>
    </row>
    <row r="66" spans="1:8" x14ac:dyDescent="0.35">
      <c r="A66" t="str">
        <f>'Fee Breakdown by Entity'!A94</f>
        <v>Cyprus</v>
      </c>
      <c r="B66" t="str">
        <f>'Fee Breakdown by Entity'!D94</f>
        <v>Cyprus LP</v>
      </c>
      <c r="C66" t="str">
        <f>TRIM(SUBSTITUTE('Fee Breakdown by Entity'!AV$4,CHAR(10)," "))</f>
        <v>Registered Office Fee</v>
      </c>
      <c r="D66" t="s">
        <v>2639</v>
      </c>
      <c r="E66" t="s">
        <v>235</v>
      </c>
      <c r="F66" s="191">
        <f>IF('Fee Breakdown by Entity'!AV94="","",'Fee Breakdown by Entity'!AV94)</f>
        <v>425</v>
      </c>
      <c r="G66" t="s">
        <v>2650</v>
      </c>
      <c r="H66" t="s">
        <v>2651</v>
      </c>
    </row>
    <row r="67" spans="1:8" x14ac:dyDescent="0.35">
      <c r="A67" t="str">
        <f>'Fee Breakdown by Entity'!A94</f>
        <v>Cyprus</v>
      </c>
      <c r="B67" t="str">
        <f>'Fee Breakdown by Entity'!D94</f>
        <v>Cyprus LP</v>
      </c>
      <c r="C67" t="str">
        <f>TRIM(SUBSTITUTE('Fee Breakdown by Entity'!AX$4,CHAR(10)," "))</f>
        <v>Corporate Secretary Fee</v>
      </c>
      <c r="D67" t="s">
        <v>2639</v>
      </c>
      <c r="E67" t="s">
        <v>235</v>
      </c>
      <c r="F67" s="191">
        <f>IF('Fee Breakdown by Entity'!AX94="","",'Fee Breakdown by Entity'!AX94)</f>
        <v>550</v>
      </c>
    </row>
    <row r="68" spans="1:8" x14ac:dyDescent="0.35">
      <c r="A68" t="str">
        <f>'Fee Breakdown by Entity'!A95</f>
        <v>Cyprus</v>
      </c>
      <c r="B68" t="str">
        <f>'Fee Breakdown by Entity'!D95</f>
        <v>Cyprus CF</v>
      </c>
      <c r="C68" t="str">
        <f>TRIM(SUBSTITUTE('Fee Breakdown by Entity'!AL$4,CHAR(10)," "))</f>
        <v>Bank Account Opening with Amicorp Bank &amp; Trust</v>
      </c>
      <c r="D68" t="s">
        <v>2643</v>
      </c>
      <c r="E68" t="s">
        <v>235</v>
      </c>
      <c r="F68" s="191">
        <f>IF('Fee Breakdown by Entity'!AL95="","",'Fee Breakdown by Entity'!AL95)</f>
        <v>0</v>
      </c>
      <c r="G68" t="s">
        <v>2648</v>
      </c>
      <c r="H68" t="s">
        <v>2649</v>
      </c>
    </row>
    <row r="69" spans="1:8" x14ac:dyDescent="0.35">
      <c r="A69" t="str">
        <f>'Fee Breakdown by Entity'!A102</f>
        <v>Delaware</v>
      </c>
      <c r="B69" t="str">
        <f>'Fee Breakdown by Entity'!D102</f>
        <v>Delaware Ltd</v>
      </c>
      <c r="C69" t="str">
        <f>TRIM(SUBSTITUTE('Fee Breakdown by Entity'!AL$4,CHAR(10)," "))</f>
        <v>Bank Account Opening with Amicorp Bank &amp; Trust</v>
      </c>
      <c r="D69" t="s">
        <v>2643</v>
      </c>
      <c r="E69" t="s">
        <v>235</v>
      </c>
      <c r="F69" s="191">
        <f>IF('Fee Breakdown by Entity'!AL102="","",'Fee Breakdown by Entity'!AL102)</f>
        <v>0</v>
      </c>
      <c r="G69" t="s">
        <v>2648</v>
      </c>
      <c r="H69" t="s">
        <v>2649</v>
      </c>
    </row>
    <row r="70" spans="1:8" x14ac:dyDescent="0.35">
      <c r="A70" t="str">
        <f>'Fee Breakdown by Entity'!A103</f>
        <v>Delaware</v>
      </c>
      <c r="B70" t="str">
        <f>'Fee Breakdown by Entity'!D103</f>
        <v>Delaware LP</v>
      </c>
      <c r="C70" t="str">
        <f>TRIM(SUBSTITUTE('Fee Breakdown by Entity'!AL$4,CHAR(10)," "))</f>
        <v>Bank Account Opening with Amicorp Bank &amp; Trust</v>
      </c>
      <c r="D70" t="s">
        <v>2643</v>
      </c>
      <c r="E70" t="s">
        <v>235</v>
      </c>
      <c r="F70" s="191">
        <f>IF('Fee Breakdown by Entity'!AL103="","",'Fee Breakdown by Entity'!AL103)</f>
        <v>0</v>
      </c>
      <c r="G70" t="s">
        <v>2648</v>
      </c>
      <c r="H70" t="s">
        <v>2649</v>
      </c>
    </row>
    <row r="71" spans="1:8" x14ac:dyDescent="0.35">
      <c r="A71" t="str">
        <f>'Fee Breakdown by Entity'!A104</f>
        <v>Delaware</v>
      </c>
      <c r="B71" t="str">
        <f>'Fee Breakdown by Entity'!D104</f>
        <v>Delaware LLC</v>
      </c>
      <c r="C71" t="str">
        <f>TRIM(SUBSTITUTE('Fee Breakdown by Entity'!AL$4,CHAR(10)," "))</f>
        <v>Bank Account Opening with Amicorp Bank &amp; Trust</v>
      </c>
      <c r="D71" t="s">
        <v>2643</v>
      </c>
      <c r="E71" t="s">
        <v>235</v>
      </c>
      <c r="F71" s="191">
        <f>IF('Fee Breakdown by Entity'!AL104="","",'Fee Breakdown by Entity'!AL104)</f>
        <v>0</v>
      </c>
      <c r="G71" t="s">
        <v>2648</v>
      </c>
      <c r="H71" t="s">
        <v>2649</v>
      </c>
    </row>
    <row r="72" spans="1:8" x14ac:dyDescent="0.35">
      <c r="A72" t="str">
        <f>'Fee Breakdown by Entity'!A105</f>
        <v>Delaware</v>
      </c>
      <c r="B72" t="str">
        <f>'Fee Breakdown by Entity'!D105</f>
        <v>Delaware DST</v>
      </c>
      <c r="C72" t="str">
        <f>TRIM(SUBSTITUTE('Fee Breakdown by Entity'!AL$4,CHAR(10)," "))</f>
        <v>Bank Account Opening with Amicorp Bank &amp; Trust</v>
      </c>
      <c r="D72" t="s">
        <v>2643</v>
      </c>
      <c r="E72" t="s">
        <v>235</v>
      </c>
      <c r="F72" s="191">
        <f>IF('Fee Breakdown by Entity'!AL105="","",'Fee Breakdown by Entity'!AL105)</f>
        <v>0</v>
      </c>
      <c r="G72" t="s">
        <v>2648</v>
      </c>
      <c r="H72" t="s">
        <v>2649</v>
      </c>
    </row>
    <row r="73" spans="1:8" x14ac:dyDescent="0.35">
      <c r="A73" t="str">
        <f>'Fee Breakdown by Entity'!A106</f>
        <v>Delaware</v>
      </c>
      <c r="B73" t="str">
        <f>'Fee Breakdown by Entity'!D106</f>
        <v>Delaware C-Corp</v>
      </c>
      <c r="C73" t="str">
        <f>TRIM(SUBSTITUTE('Fee Breakdown by Entity'!AL$4,CHAR(10)," "))</f>
        <v>Bank Account Opening with Amicorp Bank &amp; Trust</v>
      </c>
      <c r="D73" t="s">
        <v>2643</v>
      </c>
      <c r="E73" t="s">
        <v>235</v>
      </c>
      <c r="F73" s="191">
        <f>IF('Fee Breakdown by Entity'!AL106="","",'Fee Breakdown by Entity'!AL106)</f>
        <v>0</v>
      </c>
      <c r="G73" t="s">
        <v>2648</v>
      </c>
      <c r="H73" t="s">
        <v>2649</v>
      </c>
    </row>
    <row r="74" spans="1:8" x14ac:dyDescent="0.35">
      <c r="A74" t="str">
        <f>'Fee Breakdown by Entity'!A107</f>
        <v>Delaware</v>
      </c>
      <c r="B74" t="str">
        <f>'Fee Breakdown by Entity'!D107</f>
        <v>Delaware S-Corp</v>
      </c>
      <c r="C74" t="str">
        <f>TRIM(SUBSTITUTE('Fee Breakdown by Entity'!AL$4,CHAR(10)," "))</f>
        <v>Bank Account Opening with Amicorp Bank &amp; Trust</v>
      </c>
      <c r="D74" t="s">
        <v>2643</v>
      </c>
      <c r="E74" t="s">
        <v>235</v>
      </c>
      <c r="F74" s="191">
        <f>IF('Fee Breakdown by Entity'!AL107="","",'Fee Breakdown by Entity'!AL107)</f>
        <v>0</v>
      </c>
      <c r="G74" t="s">
        <v>2648</v>
      </c>
      <c r="H74" t="s">
        <v>2649</v>
      </c>
    </row>
    <row r="75" spans="1:8" x14ac:dyDescent="0.35">
      <c r="A75" t="str">
        <f>'Fee Breakdown by Entity'!A108</f>
        <v>Delaware</v>
      </c>
      <c r="B75" t="str">
        <f>'Fee Breakdown by Entity'!D108</f>
        <v>Delaware Series LLC</v>
      </c>
      <c r="C75" t="str">
        <f>TRIM(SUBSTITUTE('Fee Breakdown by Entity'!AL$4,CHAR(10)," "))</f>
        <v>Bank Account Opening with Amicorp Bank &amp; Trust</v>
      </c>
      <c r="D75" t="s">
        <v>2643</v>
      </c>
      <c r="E75" t="s">
        <v>235</v>
      </c>
      <c r="F75" s="191">
        <f>IF('Fee Breakdown by Entity'!AL108="","",'Fee Breakdown by Entity'!AL108)</f>
        <v>0</v>
      </c>
      <c r="G75" t="s">
        <v>2648</v>
      </c>
      <c r="H75" t="s">
        <v>2649</v>
      </c>
    </row>
    <row r="76" spans="1:8" x14ac:dyDescent="0.35">
      <c r="A76" t="str">
        <f>'Fee Breakdown by Entity'!A123</f>
        <v>United Arab Emirates</v>
      </c>
      <c r="B76" t="str">
        <f>'Fee Breakdown by Entity'!D123</f>
        <v>United Arab Emirates Investment Company</v>
      </c>
      <c r="C76" t="str">
        <f>TRIM(SUBSTITUTE('Fee Breakdown by Entity'!AL$4,CHAR(10)," "))</f>
        <v>Bank Account Opening with Amicorp Bank &amp; Trust</v>
      </c>
      <c r="D76" t="s">
        <v>2643</v>
      </c>
      <c r="E76" t="s">
        <v>235</v>
      </c>
      <c r="F76" s="191">
        <f>IF('Fee Breakdown by Entity'!AL123="","",'Fee Breakdown by Entity'!AL123)</f>
        <v>0</v>
      </c>
      <c r="G76" t="s">
        <v>2648</v>
      </c>
      <c r="H76" t="s">
        <v>2649</v>
      </c>
    </row>
    <row r="77" spans="1:8" x14ac:dyDescent="0.35">
      <c r="A77" t="str">
        <f>'Fee Breakdown by Entity'!A124</f>
        <v>United Arab Emirates</v>
      </c>
      <c r="B77" t="str">
        <f>'Fee Breakdown by Entity'!D124</f>
        <v>United Arab Emirates Investment Trust</v>
      </c>
      <c r="C77" t="str">
        <f>TRIM(SUBSTITUTE('Fee Breakdown by Entity'!AL$4,CHAR(10)," "))</f>
        <v>Bank Account Opening with Amicorp Bank &amp; Trust</v>
      </c>
      <c r="D77" t="s">
        <v>2643</v>
      </c>
      <c r="E77" t="s">
        <v>235</v>
      </c>
      <c r="F77" s="191">
        <f>IF('Fee Breakdown by Entity'!AL124="","",'Fee Breakdown by Entity'!AL124)</f>
        <v>0</v>
      </c>
      <c r="G77" t="s">
        <v>2648</v>
      </c>
      <c r="H77" t="s">
        <v>2649</v>
      </c>
    </row>
    <row r="78" spans="1:8" x14ac:dyDescent="0.35">
      <c r="A78" t="str">
        <f>'Fee Breakdown by Entity'!A125</f>
        <v>United Arab Emirates</v>
      </c>
      <c r="B78" t="str">
        <f>'Fee Breakdown by Entity'!D125</f>
        <v>United Arab Emirates LP</v>
      </c>
      <c r="C78" t="str">
        <f>TRIM(SUBSTITUTE('Fee Breakdown by Entity'!AL$4,CHAR(10)," "))</f>
        <v>Bank Account Opening with Amicorp Bank &amp; Trust</v>
      </c>
      <c r="D78" t="s">
        <v>2643</v>
      </c>
      <c r="E78" t="s">
        <v>235</v>
      </c>
      <c r="F78" s="191">
        <f>IF('Fee Breakdown by Entity'!AL125="","",'Fee Breakdown by Entity'!AL125)</f>
        <v>0</v>
      </c>
      <c r="G78" t="s">
        <v>2648</v>
      </c>
      <c r="H78" t="s">
        <v>2649</v>
      </c>
    </row>
    <row r="79" spans="1:8" x14ac:dyDescent="0.35">
      <c r="A79" t="str">
        <f>'Fee Breakdown by Entity'!A126</f>
        <v>United Arab Emirates</v>
      </c>
      <c r="B79" t="str">
        <f>'Fee Breakdown by Entity'!D126</f>
        <v>United Arab Emirates PCC</v>
      </c>
      <c r="C79" t="str">
        <f>TRIM(SUBSTITUTE('Fee Breakdown by Entity'!AL$4,CHAR(10)," "))</f>
        <v>Bank Account Opening with Amicorp Bank &amp; Trust</v>
      </c>
      <c r="D79" t="s">
        <v>2643</v>
      </c>
      <c r="E79" t="s">
        <v>235</v>
      </c>
      <c r="F79" s="191">
        <f>IF('Fee Breakdown by Entity'!AL126="","",'Fee Breakdown by Entity'!AL126)</f>
        <v>0</v>
      </c>
      <c r="G79" t="s">
        <v>2648</v>
      </c>
      <c r="H79" t="s">
        <v>2649</v>
      </c>
    </row>
    <row r="80" spans="1:8" x14ac:dyDescent="0.35">
      <c r="A80" t="str">
        <f>'Fee Breakdown by Entity'!A127</f>
        <v>United Arab Emirates</v>
      </c>
      <c r="B80" t="str">
        <f>'Fee Breakdown by Entity'!D127</f>
        <v>United Arab Emirates ICC</v>
      </c>
      <c r="C80" t="str">
        <f>TRIM(SUBSTITUTE('Fee Breakdown by Entity'!AL$4,CHAR(10)," "))</f>
        <v>Bank Account Opening with Amicorp Bank &amp; Trust</v>
      </c>
      <c r="D80" t="s">
        <v>2643</v>
      </c>
      <c r="E80" t="s">
        <v>235</v>
      </c>
      <c r="F80" s="191">
        <f>IF('Fee Breakdown by Entity'!AL127="","",'Fee Breakdown by Entity'!AL127)</f>
        <v>0</v>
      </c>
      <c r="G80" t="s">
        <v>2648</v>
      </c>
      <c r="H80" t="s">
        <v>2649</v>
      </c>
    </row>
    <row r="81" spans="1:8" x14ac:dyDescent="0.35">
      <c r="A81" t="str">
        <f>'Fee Breakdown by Entity'!A139</f>
        <v>Hong Kong</v>
      </c>
      <c r="B81" t="str">
        <f>'Fee Breakdown by Entity'!D139</f>
        <v>Hong Kong OFC</v>
      </c>
      <c r="C81" t="str">
        <f>TRIM(SUBSTITUTE('Fee Breakdown by Entity'!AL$4,CHAR(10)," "))</f>
        <v>Bank Account Opening with Amicorp Bank &amp; Trust</v>
      </c>
      <c r="D81" t="s">
        <v>2643</v>
      </c>
      <c r="E81" t="s">
        <v>235</v>
      </c>
      <c r="F81" s="191">
        <f>IF('Fee Breakdown by Entity'!AL139="","",'Fee Breakdown by Entity'!AL139)</f>
        <v>0</v>
      </c>
      <c r="G81" t="s">
        <v>2648</v>
      </c>
      <c r="H81" t="s">
        <v>2649</v>
      </c>
    </row>
    <row r="82" spans="1:8" x14ac:dyDescent="0.35">
      <c r="A82" t="str">
        <f>'Fee Breakdown by Entity'!A140</f>
        <v>Hong Kong</v>
      </c>
      <c r="B82" t="str">
        <f>'Fee Breakdown by Entity'!D140</f>
        <v>Hong Kong LP</v>
      </c>
      <c r="C82" t="str">
        <f>TRIM(SUBSTITUTE('Fee Breakdown by Entity'!AL$4,CHAR(10)," "))</f>
        <v>Bank Account Opening with Amicorp Bank &amp; Trust</v>
      </c>
      <c r="D82" t="s">
        <v>2643</v>
      </c>
      <c r="E82" t="s">
        <v>235</v>
      </c>
      <c r="F82" s="191">
        <f>IF('Fee Breakdown by Entity'!AL140="","",'Fee Breakdown by Entity'!AL140)</f>
        <v>0</v>
      </c>
      <c r="G82" t="s">
        <v>2648</v>
      </c>
      <c r="H82" t="s">
        <v>2649</v>
      </c>
    </row>
    <row r="83" spans="1:8" x14ac:dyDescent="0.35">
      <c r="A83" t="str">
        <f>'Fee Breakdown by Entity'!A141</f>
        <v>Hong Kong</v>
      </c>
      <c r="B83" t="str">
        <f>'Fee Breakdown by Entity'!D141</f>
        <v>Hong Kong Unit Trust</v>
      </c>
      <c r="C83" t="str">
        <f>TRIM(SUBSTITUTE('Fee Breakdown by Entity'!AL$4,CHAR(10)," "))</f>
        <v>Bank Account Opening with Amicorp Bank &amp; Trust</v>
      </c>
      <c r="D83" t="s">
        <v>2643</v>
      </c>
      <c r="E83" t="s">
        <v>235</v>
      </c>
      <c r="F83" s="191">
        <f>IF('Fee Breakdown by Entity'!AL141="","",'Fee Breakdown by Entity'!AL141)</f>
        <v>0</v>
      </c>
      <c r="G83" t="s">
        <v>2648</v>
      </c>
      <c r="H83" t="s">
        <v>2649</v>
      </c>
    </row>
    <row r="84" spans="1:8" x14ac:dyDescent="0.35">
      <c r="A84" t="str">
        <f>'Fee Breakdown by Entity'!A142</f>
        <v>Hong Kong</v>
      </c>
      <c r="B84" t="str">
        <f>'Fee Breakdown by Entity'!D142</f>
        <v>Hong Kong CLS</v>
      </c>
      <c r="C84" t="str">
        <f>TRIM(SUBSTITUTE('Fee Breakdown by Entity'!AL$4,CHAR(10)," "))</f>
        <v>Bank Account Opening with Amicorp Bank &amp; Trust</v>
      </c>
      <c r="D84" t="s">
        <v>2643</v>
      </c>
      <c r="E84" t="s">
        <v>235</v>
      </c>
      <c r="F84" s="191">
        <f>IF('Fee Breakdown by Entity'!AL142="","",'Fee Breakdown by Entity'!AL142)</f>
        <v>0</v>
      </c>
      <c r="G84" t="s">
        <v>2648</v>
      </c>
      <c r="H84" t="s">
        <v>2649</v>
      </c>
    </row>
    <row r="85" spans="1:8" x14ac:dyDescent="0.35">
      <c r="A85" t="str">
        <f>'Fee Breakdown by Entity'!A143</f>
        <v>Hong Kong</v>
      </c>
      <c r="B85" t="str">
        <f>'Fee Breakdown by Entity'!D143</f>
        <v>Hong Kong Business Trust</v>
      </c>
      <c r="C85" t="str">
        <f>TRIM(SUBSTITUTE('Fee Breakdown by Entity'!AL$4,CHAR(10)," "))</f>
        <v>Bank Account Opening with Amicorp Bank &amp; Trust</v>
      </c>
      <c r="D85" t="s">
        <v>2643</v>
      </c>
      <c r="E85" t="s">
        <v>235</v>
      </c>
      <c r="F85" s="191">
        <f>IF('Fee Breakdown by Entity'!AL143="","",'Fee Breakdown by Entity'!AL143)</f>
        <v>0</v>
      </c>
      <c r="G85" t="s">
        <v>2648</v>
      </c>
      <c r="H85" t="s">
        <v>2649</v>
      </c>
    </row>
    <row r="86" spans="1:8" x14ac:dyDescent="0.35">
      <c r="A86" t="str">
        <f>'Fee Breakdown by Entity'!A148</f>
        <v>India</v>
      </c>
      <c r="B86" t="str">
        <f>'Fee Breakdown by Entity'!D148</f>
        <v>India LP</v>
      </c>
      <c r="C86" t="str">
        <f>TRIM(SUBSTITUTE('Fee Breakdown by Entity'!AL$4,CHAR(10)," "))</f>
        <v>Bank Account Opening with Amicorp Bank &amp; Trust</v>
      </c>
      <c r="D86" t="s">
        <v>2643</v>
      </c>
      <c r="E86" t="s">
        <v>235</v>
      </c>
      <c r="F86" s="191">
        <f>IF('Fee Breakdown by Entity'!AL148="","",'Fee Breakdown by Entity'!AL148)</f>
        <v>0</v>
      </c>
      <c r="G86" t="s">
        <v>2648</v>
      </c>
      <c r="H86" t="s">
        <v>2649</v>
      </c>
    </row>
    <row r="87" spans="1:8" x14ac:dyDescent="0.35">
      <c r="A87" t="str">
        <f>'Fee Breakdown by Entity'!A149</f>
        <v>India</v>
      </c>
      <c r="B87" t="str">
        <f>'Fee Breakdown by Entity'!D149</f>
        <v>India Company</v>
      </c>
      <c r="C87" t="str">
        <f>TRIM(SUBSTITUTE('Fee Breakdown by Entity'!AL$4,CHAR(10)," "))</f>
        <v>Bank Account Opening with Amicorp Bank &amp; Trust</v>
      </c>
      <c r="D87" t="s">
        <v>2643</v>
      </c>
      <c r="E87" t="s">
        <v>235</v>
      </c>
      <c r="F87" s="191">
        <f>IF('Fee Breakdown by Entity'!AL149="","",'Fee Breakdown by Entity'!AL149)</f>
        <v>0</v>
      </c>
      <c r="G87" t="s">
        <v>2648</v>
      </c>
      <c r="H87" t="s">
        <v>2649</v>
      </c>
    </row>
    <row r="88" spans="1:8" x14ac:dyDescent="0.35">
      <c r="A88" t="str">
        <f>'Fee Breakdown by Entity'!A150</f>
        <v>India</v>
      </c>
      <c r="B88" t="str">
        <f>'Fee Breakdown by Entity'!D150</f>
        <v>India SPC</v>
      </c>
      <c r="C88" t="str">
        <f>TRIM(SUBSTITUTE('Fee Breakdown by Entity'!AL$4,CHAR(10)," "))</f>
        <v>Bank Account Opening with Amicorp Bank &amp; Trust</v>
      </c>
      <c r="D88" t="s">
        <v>2643</v>
      </c>
      <c r="E88" t="s">
        <v>235</v>
      </c>
      <c r="F88" s="191">
        <f>IF('Fee Breakdown by Entity'!AL150="","",'Fee Breakdown by Entity'!AL150)</f>
        <v>0</v>
      </c>
      <c r="G88" t="s">
        <v>2648</v>
      </c>
      <c r="H88" t="s">
        <v>2649</v>
      </c>
    </row>
    <row r="89" spans="1:8" x14ac:dyDescent="0.35">
      <c r="A89" t="str">
        <f>'Fee Breakdown by Entity'!A151</f>
        <v>India</v>
      </c>
      <c r="B89" t="str">
        <f>'Fee Breakdown by Entity'!D151</f>
        <v>India Trust</v>
      </c>
      <c r="C89" t="str">
        <f>TRIM(SUBSTITUTE('Fee Breakdown by Entity'!AD$4,CHAR(10)," "))</f>
        <v>Setup Fee</v>
      </c>
      <c r="D89" t="s">
        <v>2643</v>
      </c>
      <c r="E89" t="s">
        <v>235</v>
      </c>
      <c r="F89" s="190" t="str">
        <f>IF('Fee Breakdown by Entity'!AD151="","",'Fee Breakdown by Entity'!AD151)</f>
        <v>Not available</v>
      </c>
      <c r="G89" t="s">
        <v>2650</v>
      </c>
      <c r="H89" t="s">
        <v>2651</v>
      </c>
    </row>
    <row r="90" spans="1:8" x14ac:dyDescent="0.35">
      <c r="A90" t="str">
        <f>'Fee Breakdown by Entity'!A151</f>
        <v>India</v>
      </c>
      <c r="B90" t="str">
        <f>'Fee Breakdown by Entity'!D151</f>
        <v>India Trust</v>
      </c>
      <c r="C90" t="str">
        <f>TRIM(SUBSTITUTE('Fee Breakdown by Entity'!AL$4,CHAR(10)," "))</f>
        <v>Bank Account Opening with Amicorp Bank &amp; Trust</v>
      </c>
      <c r="D90" t="s">
        <v>2643</v>
      </c>
      <c r="E90" t="s">
        <v>235</v>
      </c>
      <c r="F90" s="191">
        <f>IF('Fee Breakdown by Entity'!AL151="","",'Fee Breakdown by Entity'!AL151)</f>
        <v>0</v>
      </c>
      <c r="G90" t="s">
        <v>2648</v>
      </c>
      <c r="H90" t="s">
        <v>2649</v>
      </c>
    </row>
    <row r="91" spans="1:8" x14ac:dyDescent="0.35">
      <c r="A91" t="str">
        <f>'Fee Breakdown by Entity'!A154</f>
        <v>India</v>
      </c>
      <c r="B91" t="str">
        <f>'Fee Breakdown by Entity'!D154</f>
        <v>India AIF</v>
      </c>
      <c r="C91" t="str">
        <f>TRIM(SUBSTITUTE('Fee Breakdown by Entity'!AD$4,CHAR(10)," "))</f>
        <v>Setup Fee</v>
      </c>
      <c r="D91" t="s">
        <v>2643</v>
      </c>
      <c r="E91" t="s">
        <v>2652</v>
      </c>
      <c r="F91" s="191">
        <f>IF('Fee Breakdown by Entity'!AD154="","",'Fee Breakdown by Entity'!AD154)</f>
        <v>125000</v>
      </c>
      <c r="G91" t="s">
        <v>2650</v>
      </c>
      <c r="H91" t="s">
        <v>2651</v>
      </c>
    </row>
    <row r="92" spans="1:8" x14ac:dyDescent="0.35">
      <c r="A92" t="str">
        <f>'Fee Breakdown by Entity'!A154</f>
        <v>India</v>
      </c>
      <c r="B92" t="str">
        <f>'Fee Breakdown by Entity'!D154</f>
        <v>India AIF</v>
      </c>
      <c r="C92" t="str">
        <f>TRIM(SUBSTITUTE('Fee Breakdown by Entity'!AR$4,CHAR(10)," "))</f>
        <v>Trustee Fee</v>
      </c>
      <c r="D92" t="s">
        <v>2639</v>
      </c>
      <c r="E92" t="s">
        <v>2652</v>
      </c>
      <c r="F92" s="190">
        <f>IF('Fee Breakdown by Entity'!AR154="","",'Fee Breakdown by Entity'!AR154)</f>
        <v>125000</v>
      </c>
      <c r="G92" t="s">
        <v>2650</v>
      </c>
      <c r="H92" t="s">
        <v>2651</v>
      </c>
    </row>
    <row r="93" spans="1:8" x14ac:dyDescent="0.35">
      <c r="A93" t="str">
        <f>'Fee Breakdown by Entity'!A160</f>
        <v>Kazakhstan</v>
      </c>
      <c r="B93" t="str">
        <f>'Fee Breakdown by Entity'!D160</f>
        <v>Kazakhstan Ltd</v>
      </c>
      <c r="C93" t="str">
        <f>TRIM(SUBSTITUTE('Fee Breakdown by Entity'!AL$4,CHAR(10)," "))</f>
        <v>Bank Account Opening with Amicorp Bank &amp; Trust</v>
      </c>
      <c r="D93" t="s">
        <v>2643</v>
      </c>
      <c r="E93" t="s">
        <v>235</v>
      </c>
      <c r="F93" s="191">
        <f>IF('Fee Breakdown by Entity'!AL160="","",'Fee Breakdown by Entity'!AL160)</f>
        <v>0</v>
      </c>
      <c r="G93" t="s">
        <v>2648</v>
      </c>
      <c r="H93" t="s">
        <v>2649</v>
      </c>
    </row>
    <row r="94" spans="1:8" x14ac:dyDescent="0.35">
      <c r="A94" t="str">
        <f>'Fee Breakdown by Entity'!A161</f>
        <v>Kazakhstan</v>
      </c>
      <c r="B94" t="str">
        <f>'Fee Breakdown by Entity'!D161</f>
        <v>Kazakhstan PLC</v>
      </c>
      <c r="C94" t="str">
        <f>TRIM(SUBSTITUTE('Fee Breakdown by Entity'!AL$4,CHAR(10)," "))</f>
        <v>Bank Account Opening with Amicorp Bank &amp; Trust</v>
      </c>
      <c r="D94" t="s">
        <v>2643</v>
      </c>
      <c r="E94" t="s">
        <v>235</v>
      </c>
      <c r="F94" s="191">
        <f>IF('Fee Breakdown by Entity'!AL161="","",'Fee Breakdown by Entity'!AL161)</f>
        <v>0</v>
      </c>
      <c r="G94" t="s">
        <v>2648</v>
      </c>
      <c r="H94" t="s">
        <v>2649</v>
      </c>
    </row>
    <row r="95" spans="1:8" x14ac:dyDescent="0.35">
      <c r="A95" t="str">
        <f>'Fee Breakdown by Entity'!A162</f>
        <v>Kazakhstan</v>
      </c>
      <c r="B95" t="str">
        <f>'Fee Breakdown by Entity'!D162</f>
        <v>Kazakhstan LP</v>
      </c>
      <c r="C95" t="str">
        <f>TRIM(SUBSTITUTE('Fee Breakdown by Entity'!AL$4,CHAR(10)," "))</f>
        <v>Bank Account Opening with Amicorp Bank &amp; Trust</v>
      </c>
      <c r="D95" t="s">
        <v>2643</v>
      </c>
      <c r="E95" t="s">
        <v>235</v>
      </c>
      <c r="F95" s="191">
        <f>IF('Fee Breakdown by Entity'!AL162="","",'Fee Breakdown by Entity'!AL162)</f>
        <v>0</v>
      </c>
      <c r="G95" t="s">
        <v>2648</v>
      </c>
      <c r="H95" t="s">
        <v>2649</v>
      </c>
    </row>
    <row r="96" spans="1:8" x14ac:dyDescent="0.35">
      <c r="A96" t="str">
        <f>'Fee Breakdown by Entity'!A163</f>
        <v>Kazakhstan</v>
      </c>
      <c r="B96" t="str">
        <f>'Fee Breakdown by Entity'!D163</f>
        <v>Kazakhstan PCC</v>
      </c>
      <c r="C96" t="str">
        <f>TRIM(SUBSTITUTE('Fee Breakdown by Entity'!AL$4,CHAR(10)," "))</f>
        <v>Bank Account Opening with Amicorp Bank &amp; Trust</v>
      </c>
      <c r="D96" t="s">
        <v>2643</v>
      </c>
      <c r="E96" t="s">
        <v>235</v>
      </c>
      <c r="F96" s="191">
        <f>IF('Fee Breakdown by Entity'!AL163="","",'Fee Breakdown by Entity'!AL163)</f>
        <v>0</v>
      </c>
      <c r="G96" t="s">
        <v>2648</v>
      </c>
      <c r="H96" t="s">
        <v>2649</v>
      </c>
    </row>
    <row r="97" spans="1:8" x14ac:dyDescent="0.35">
      <c r="A97" t="str">
        <f>'Fee Breakdown by Entity'!A164</f>
        <v>Kazakhstan</v>
      </c>
      <c r="B97" t="str">
        <f>'Fee Breakdown by Entity'!D164</f>
        <v>Kazakhstan ICC</v>
      </c>
      <c r="C97" t="str">
        <f>TRIM(SUBSTITUTE('Fee Breakdown by Entity'!AL$4,CHAR(10)," "))</f>
        <v>Bank Account Opening with Amicorp Bank &amp; Trust</v>
      </c>
      <c r="D97" t="s">
        <v>2643</v>
      </c>
      <c r="E97" t="s">
        <v>235</v>
      </c>
      <c r="F97" s="191">
        <f>IF('Fee Breakdown by Entity'!AL164="","",'Fee Breakdown by Entity'!AL164)</f>
        <v>0</v>
      </c>
      <c r="G97" t="s">
        <v>2648</v>
      </c>
      <c r="H97" t="s">
        <v>2649</v>
      </c>
    </row>
    <row r="98" spans="1:8" x14ac:dyDescent="0.35">
      <c r="A98" t="str">
        <f>'Fee Breakdown by Entity'!A165</f>
        <v>Kazakhstan</v>
      </c>
      <c r="B98" t="str">
        <f>'Fee Breakdown by Entity'!D165</f>
        <v>Kazakhstan Unit Trust</v>
      </c>
      <c r="C98" t="str">
        <f>TRIM(SUBSTITUTE('Fee Breakdown by Entity'!AL$4,CHAR(10)," "))</f>
        <v>Bank Account Opening with Amicorp Bank &amp; Trust</v>
      </c>
      <c r="D98" t="s">
        <v>2643</v>
      </c>
      <c r="E98" t="s">
        <v>235</v>
      </c>
      <c r="F98" s="191">
        <f>IF('Fee Breakdown by Entity'!AL165="","",'Fee Breakdown by Entity'!AL165)</f>
        <v>0</v>
      </c>
      <c r="G98" t="s">
        <v>2648</v>
      </c>
      <c r="H98" t="s">
        <v>2649</v>
      </c>
    </row>
    <row r="99" spans="1:8" x14ac:dyDescent="0.35">
      <c r="A99" t="str">
        <f>'Fee Breakdown by Entity'!A173</f>
        <v>Luxembourg</v>
      </c>
      <c r="B99" t="str">
        <f>'Fee Breakdown by Entity'!D173</f>
        <v>Luxembourg SA</v>
      </c>
      <c r="C99" t="str">
        <f>TRIM(SUBSTITUTE('Fee Breakdown by Entity'!AL$4,CHAR(10)," "))</f>
        <v>Bank Account Opening with Amicorp Bank &amp; Trust</v>
      </c>
      <c r="D99" t="s">
        <v>2643</v>
      </c>
      <c r="E99" t="s">
        <v>235</v>
      </c>
      <c r="F99" s="191">
        <f>IF('Fee Breakdown by Entity'!AL173="","",'Fee Breakdown by Entity'!AL173)</f>
        <v>0</v>
      </c>
      <c r="G99" t="s">
        <v>2648</v>
      </c>
      <c r="H99" t="s">
        <v>2649</v>
      </c>
    </row>
    <row r="100" spans="1:8" x14ac:dyDescent="0.35">
      <c r="A100" t="str">
        <f>'Fee Breakdown by Entity'!A173</f>
        <v>Luxembourg</v>
      </c>
      <c r="B100" t="str">
        <f>'Fee Breakdown by Entity'!D173</f>
        <v>Luxembourg SA</v>
      </c>
      <c r="C100" t="str">
        <f>TRIM(SUBSTITUTE('Fee Breakdown by Entity'!AT$4,CHAR(10)," "))</f>
        <v>Personal Director Fee</v>
      </c>
      <c r="D100" t="s">
        <v>2639</v>
      </c>
      <c r="E100" t="s">
        <v>2652</v>
      </c>
      <c r="F100" s="191">
        <f>IF('Fee Breakdown by Entity'!AT173="","",'Fee Breakdown by Entity'!AT173)</f>
        <v>2550</v>
      </c>
    </row>
    <row r="101" spans="1:8" x14ac:dyDescent="0.35">
      <c r="A101" t="str">
        <f>'Fee Breakdown by Entity'!A173</f>
        <v>Luxembourg</v>
      </c>
      <c r="B101" t="str">
        <f>'Fee Breakdown by Entity'!D173</f>
        <v>Luxembourg SA</v>
      </c>
      <c r="C101" t="str">
        <f>TRIM(SUBSTITUTE('Fee Breakdown by Entity'!AV$4,CHAR(10)," "))</f>
        <v>Registered Office Fee</v>
      </c>
      <c r="D101" t="s">
        <v>2639</v>
      </c>
      <c r="E101" t="s">
        <v>235</v>
      </c>
      <c r="F101" s="191">
        <f>IF('Fee Breakdown by Entity'!AV173="","",'Fee Breakdown by Entity'!AV173)</f>
        <v>1960</v>
      </c>
    </row>
    <row r="102" spans="1:8" x14ac:dyDescent="0.35">
      <c r="A102" t="str">
        <f>'Fee Breakdown by Entity'!A173</f>
        <v>Luxembourg</v>
      </c>
      <c r="B102" t="str">
        <f>'Fee Breakdown by Entity'!D173</f>
        <v>Luxembourg SA</v>
      </c>
      <c r="C102" t="str">
        <f>TRIM(SUBSTITUTE('Fee Breakdown by Entity'!AZ$4,CHAR(10)," "))</f>
        <v>Government Fee</v>
      </c>
      <c r="D102" t="s">
        <v>2639</v>
      </c>
      <c r="E102" t="s">
        <v>235</v>
      </c>
      <c r="F102" s="191">
        <f>IF('Fee Breakdown by Entity'!AZ173="","",'Fee Breakdown by Entity'!AZ173)</f>
        <v>350</v>
      </c>
    </row>
    <row r="103" spans="1:8" x14ac:dyDescent="0.35">
      <c r="A103" t="str">
        <f>'Fee Breakdown by Entity'!A174</f>
        <v>Luxembourg</v>
      </c>
      <c r="B103" t="str">
        <f>'Fee Breakdown by Entity'!D174</f>
        <v>Luxembourg SCA</v>
      </c>
      <c r="C103" t="str">
        <f>TRIM(SUBSTITUTE('Fee Breakdown by Entity'!AL$4,CHAR(10)," "))</f>
        <v>Bank Account Opening with Amicorp Bank &amp; Trust</v>
      </c>
      <c r="D103" t="s">
        <v>2643</v>
      </c>
      <c r="E103" t="s">
        <v>235</v>
      </c>
      <c r="F103" s="191">
        <f>IF('Fee Breakdown by Entity'!AL174="","",'Fee Breakdown by Entity'!AL174)</f>
        <v>0</v>
      </c>
      <c r="G103" t="s">
        <v>2648</v>
      </c>
      <c r="H103" t="s">
        <v>2649</v>
      </c>
    </row>
    <row r="104" spans="1:8" x14ac:dyDescent="0.35">
      <c r="A104" t="str">
        <f>'Fee Breakdown by Entity'!A174</f>
        <v>Luxembourg</v>
      </c>
      <c r="B104" t="str">
        <f>'Fee Breakdown by Entity'!D174</f>
        <v>Luxembourg SCA</v>
      </c>
      <c r="C104" t="str">
        <f>TRIM(SUBSTITUTE('Fee Breakdown by Entity'!AT$4,CHAR(10)," "))</f>
        <v>Personal Director Fee</v>
      </c>
      <c r="D104" t="s">
        <v>2639</v>
      </c>
      <c r="E104" t="s">
        <v>2652</v>
      </c>
      <c r="F104" s="191">
        <f>IF('Fee Breakdown by Entity'!AT174="","",'Fee Breakdown by Entity'!AT174)</f>
        <v>2550</v>
      </c>
      <c r="G104" t="s">
        <v>2650</v>
      </c>
      <c r="H104" t="s">
        <v>2651</v>
      </c>
    </row>
    <row r="105" spans="1:8" x14ac:dyDescent="0.35">
      <c r="A105" t="str">
        <f>'Fee Breakdown by Entity'!A174</f>
        <v>Luxembourg</v>
      </c>
      <c r="B105" t="str">
        <f>'Fee Breakdown by Entity'!D174</f>
        <v>Luxembourg SCA</v>
      </c>
      <c r="C105" t="str">
        <f>TRIM(SUBSTITUTE('Fee Breakdown by Entity'!AV$4,CHAR(10)," "))</f>
        <v>Registered Office Fee</v>
      </c>
      <c r="D105" t="s">
        <v>2639</v>
      </c>
      <c r="E105" t="s">
        <v>235</v>
      </c>
      <c r="F105" s="191">
        <f>IF('Fee Breakdown by Entity'!AV174="","",'Fee Breakdown by Entity'!AV174)</f>
        <v>1960</v>
      </c>
    </row>
    <row r="106" spans="1:8" x14ac:dyDescent="0.35">
      <c r="A106" t="str">
        <f>'Fee Breakdown by Entity'!A174</f>
        <v>Luxembourg</v>
      </c>
      <c r="B106" t="str">
        <f>'Fee Breakdown by Entity'!D174</f>
        <v>Luxembourg SCA</v>
      </c>
      <c r="C106" t="str">
        <f>TRIM(SUBSTITUTE('Fee Breakdown by Entity'!AZ$4,CHAR(10)," "))</f>
        <v>Government Fee</v>
      </c>
      <c r="D106" t="s">
        <v>2639</v>
      </c>
      <c r="E106" t="s">
        <v>235</v>
      </c>
      <c r="F106" s="191">
        <f>IF('Fee Breakdown by Entity'!AZ174="","",'Fee Breakdown by Entity'!AZ174)</f>
        <v>350</v>
      </c>
    </row>
    <row r="107" spans="1:8" x14ac:dyDescent="0.35">
      <c r="A107" t="str">
        <f>'Fee Breakdown by Entity'!A175</f>
        <v>Luxembourg</v>
      </c>
      <c r="B107" t="str">
        <f>'Fee Breakdown by Entity'!D175</f>
        <v>Luxembourg Sarl</v>
      </c>
      <c r="C107" t="str">
        <f>TRIM(SUBSTITUTE('Fee Breakdown by Entity'!AL$4,CHAR(10)," "))</f>
        <v>Bank Account Opening with Amicorp Bank &amp; Trust</v>
      </c>
      <c r="D107" t="s">
        <v>2643</v>
      </c>
      <c r="E107" t="s">
        <v>235</v>
      </c>
      <c r="F107" s="191">
        <f>IF('Fee Breakdown by Entity'!AL175="","",'Fee Breakdown by Entity'!AL175)</f>
        <v>0</v>
      </c>
      <c r="G107" t="s">
        <v>2648</v>
      </c>
      <c r="H107" t="s">
        <v>2649</v>
      </c>
    </row>
    <row r="108" spans="1:8" x14ac:dyDescent="0.35">
      <c r="A108" t="str">
        <f>'Fee Breakdown by Entity'!A175</f>
        <v>Luxembourg</v>
      </c>
      <c r="B108" t="str">
        <f>'Fee Breakdown by Entity'!D175</f>
        <v>Luxembourg Sarl</v>
      </c>
      <c r="C108" t="str">
        <f>TRIM(SUBSTITUTE('Fee Breakdown by Entity'!AT$4,CHAR(10)," "))</f>
        <v>Personal Director Fee</v>
      </c>
      <c r="D108" t="s">
        <v>2639</v>
      </c>
      <c r="E108" t="s">
        <v>2652</v>
      </c>
      <c r="F108" s="191">
        <f>IF('Fee Breakdown by Entity'!AT175="","",'Fee Breakdown by Entity'!AT175)</f>
        <v>2550</v>
      </c>
    </row>
    <row r="109" spans="1:8" x14ac:dyDescent="0.35">
      <c r="A109" t="str">
        <f>'Fee Breakdown by Entity'!A175</f>
        <v>Luxembourg</v>
      </c>
      <c r="B109" t="str">
        <f>'Fee Breakdown by Entity'!D175</f>
        <v>Luxembourg Sarl</v>
      </c>
      <c r="C109" t="str">
        <f>TRIM(SUBSTITUTE('Fee Breakdown by Entity'!AV$4,CHAR(10)," "))</f>
        <v>Registered Office Fee</v>
      </c>
      <c r="D109" t="s">
        <v>2639</v>
      </c>
      <c r="E109" t="s">
        <v>235</v>
      </c>
      <c r="F109" s="191">
        <f>IF('Fee Breakdown by Entity'!AV175="","",'Fee Breakdown by Entity'!AV175)</f>
        <v>1960</v>
      </c>
      <c r="G109" t="s">
        <v>2650</v>
      </c>
      <c r="H109" t="s">
        <v>2651</v>
      </c>
    </row>
    <row r="110" spans="1:8" x14ac:dyDescent="0.35">
      <c r="A110" t="str">
        <f>'Fee Breakdown by Entity'!A175</f>
        <v>Luxembourg</v>
      </c>
      <c r="B110" t="str">
        <f>'Fee Breakdown by Entity'!D175</f>
        <v>Luxembourg Sarl</v>
      </c>
      <c r="C110" t="str">
        <f>TRIM(SUBSTITUTE('Fee Breakdown by Entity'!AZ$4,CHAR(10)," "))</f>
        <v>Government Fee</v>
      </c>
      <c r="D110" t="s">
        <v>2639</v>
      </c>
      <c r="E110" t="s">
        <v>235</v>
      </c>
      <c r="F110" s="191">
        <f>IF('Fee Breakdown by Entity'!AZ175="","",'Fee Breakdown by Entity'!AZ175)</f>
        <v>350</v>
      </c>
    </row>
    <row r="111" spans="1:8" x14ac:dyDescent="0.35">
      <c r="A111" t="str">
        <f>'Fee Breakdown by Entity'!A176</f>
        <v>Luxembourg</v>
      </c>
      <c r="B111" t="str">
        <f>'Fee Breakdown by Entity'!D176</f>
        <v>Luxembourg SCoSA</v>
      </c>
      <c r="C111" t="str">
        <f>TRIM(SUBSTITUTE('Fee Breakdown by Entity'!AL$4,CHAR(10)," "))</f>
        <v>Bank Account Opening with Amicorp Bank &amp; Trust</v>
      </c>
      <c r="D111" t="s">
        <v>2643</v>
      </c>
      <c r="E111" t="s">
        <v>235</v>
      </c>
      <c r="F111" s="191">
        <f>IF('Fee Breakdown by Entity'!AL176="","",'Fee Breakdown by Entity'!AL176)</f>
        <v>0</v>
      </c>
      <c r="G111" t="s">
        <v>2648</v>
      </c>
      <c r="H111" t="s">
        <v>2649</v>
      </c>
    </row>
    <row r="112" spans="1:8" x14ac:dyDescent="0.35">
      <c r="A112" t="str">
        <f>'Fee Breakdown by Entity'!A177</f>
        <v>Luxembourg</v>
      </c>
      <c r="B112" t="str">
        <f>'Fee Breakdown by Entity'!D177</f>
        <v>Luxembourg SCS</v>
      </c>
      <c r="C112" t="str">
        <f>TRIM(SUBSTITUTE('Fee Breakdown by Entity'!AL$4,CHAR(10)," "))</f>
        <v>Bank Account Opening with Amicorp Bank &amp; Trust</v>
      </c>
      <c r="D112" t="s">
        <v>2643</v>
      </c>
      <c r="E112" t="s">
        <v>235</v>
      </c>
      <c r="F112" s="191">
        <f>IF('Fee Breakdown by Entity'!AL177="","",'Fee Breakdown by Entity'!AL177)</f>
        <v>0</v>
      </c>
      <c r="G112" t="s">
        <v>2648</v>
      </c>
      <c r="H112" t="s">
        <v>2649</v>
      </c>
    </row>
    <row r="113" spans="1:8" x14ac:dyDescent="0.35">
      <c r="A113" t="str">
        <f>'Fee Breakdown by Entity'!A178</f>
        <v>Luxembourg</v>
      </c>
      <c r="B113" t="str">
        <f>'Fee Breakdown by Entity'!D178</f>
        <v>Luxembourg SCSp</v>
      </c>
      <c r="C113" t="str">
        <f>TRIM(SUBSTITUTE('Fee Breakdown by Entity'!AL$4,CHAR(10)," "))</f>
        <v>Bank Account Opening with Amicorp Bank &amp; Trust</v>
      </c>
      <c r="D113" t="s">
        <v>2643</v>
      </c>
      <c r="E113" t="s">
        <v>235</v>
      </c>
      <c r="F113" s="191">
        <f>IF('Fee Breakdown by Entity'!AL178="","",'Fee Breakdown by Entity'!AL178)</f>
        <v>0</v>
      </c>
      <c r="G113" t="s">
        <v>2648</v>
      </c>
      <c r="H113" t="s">
        <v>2649</v>
      </c>
    </row>
    <row r="114" spans="1:8" x14ac:dyDescent="0.35">
      <c r="A114" t="str">
        <f>'Fee Breakdown by Entity'!A178</f>
        <v>Luxembourg</v>
      </c>
      <c r="B114" t="str">
        <f>'Fee Breakdown by Entity'!D178</f>
        <v>Luxembourg SCSp</v>
      </c>
      <c r="C114" t="str">
        <f>TRIM(SUBSTITUTE('Fee Breakdown by Entity'!AT$4,CHAR(10)," "))</f>
        <v>Personal Director Fee</v>
      </c>
      <c r="D114" t="s">
        <v>2639</v>
      </c>
      <c r="E114" t="s">
        <v>2652</v>
      </c>
      <c r="F114" s="191">
        <f>IF('Fee Breakdown by Entity'!AT178="","",'Fee Breakdown by Entity'!AT178)</f>
        <v>2550</v>
      </c>
    </row>
    <row r="115" spans="1:8" x14ac:dyDescent="0.35">
      <c r="A115" t="str">
        <f>'Fee Breakdown by Entity'!A178</f>
        <v>Luxembourg</v>
      </c>
      <c r="B115" t="str">
        <f>'Fee Breakdown by Entity'!D178</f>
        <v>Luxembourg SCSp</v>
      </c>
      <c r="C115" t="str">
        <f>TRIM(SUBSTITUTE('Fee Breakdown by Entity'!AV$4,CHAR(10)," "))</f>
        <v>Registered Office Fee</v>
      </c>
      <c r="D115" t="s">
        <v>2639</v>
      </c>
      <c r="E115" t="s">
        <v>235</v>
      </c>
      <c r="F115" s="191">
        <f>IF('Fee Breakdown by Entity'!AV178="","",'Fee Breakdown by Entity'!AV178)</f>
        <v>1960</v>
      </c>
    </row>
    <row r="116" spans="1:8" x14ac:dyDescent="0.35">
      <c r="A116" t="str">
        <f>'Fee Breakdown by Entity'!A178</f>
        <v>Luxembourg</v>
      </c>
      <c r="B116" t="str">
        <f>'Fee Breakdown by Entity'!D178</f>
        <v>Luxembourg SCSp</v>
      </c>
      <c r="C116" t="str">
        <f>TRIM(SUBSTITUTE('Fee Breakdown by Entity'!AZ$4,CHAR(10)," "))</f>
        <v>Government Fee</v>
      </c>
      <c r="D116" t="s">
        <v>2639</v>
      </c>
      <c r="E116" t="s">
        <v>235</v>
      </c>
      <c r="F116" s="191">
        <f>IF('Fee Breakdown by Entity'!AZ178="","",'Fee Breakdown by Entity'!AZ178)</f>
        <v>350</v>
      </c>
      <c r="G116" t="s">
        <v>2650</v>
      </c>
      <c r="H116" t="s">
        <v>2651</v>
      </c>
    </row>
    <row r="117" spans="1:8" x14ac:dyDescent="0.35">
      <c r="A117" t="str">
        <f>'Fee Breakdown by Entity'!A179</f>
        <v>Luxembourg</v>
      </c>
      <c r="B117" t="str">
        <f>'Fee Breakdown by Entity'!D179</f>
        <v>Luxembourg FCP</v>
      </c>
      <c r="C117" t="str">
        <f>TRIM(SUBSTITUTE('Fee Breakdown by Entity'!AL$4,CHAR(10)," "))</f>
        <v>Bank Account Opening with Amicorp Bank &amp; Trust</v>
      </c>
      <c r="D117" t="s">
        <v>2643</v>
      </c>
      <c r="E117" t="s">
        <v>235</v>
      </c>
      <c r="F117" s="191">
        <f>IF('Fee Breakdown by Entity'!AL179="","",'Fee Breakdown by Entity'!AL179)</f>
        <v>0</v>
      </c>
      <c r="G117" t="s">
        <v>2648</v>
      </c>
      <c r="H117" t="s">
        <v>2649</v>
      </c>
    </row>
    <row r="118" spans="1:8" x14ac:dyDescent="0.35">
      <c r="A118" t="str">
        <f>'Fee Breakdown by Entity'!A180</f>
        <v>Luxembourg</v>
      </c>
      <c r="B118" t="str">
        <f>'Fee Breakdown by Entity'!D180</f>
        <v>Luxembourg RAIF</v>
      </c>
      <c r="C118" t="str">
        <f>TRIM(SUBSTITUTE('Fee Breakdown by Entity'!AL$4,CHAR(10)," "))</f>
        <v>Bank Account Opening with Amicorp Bank &amp; Trust</v>
      </c>
      <c r="D118" t="s">
        <v>2643</v>
      </c>
      <c r="E118" t="s">
        <v>235</v>
      </c>
      <c r="F118" s="191">
        <f>IF('Fee Breakdown by Entity'!AL180="","",'Fee Breakdown by Entity'!AL180)</f>
        <v>0</v>
      </c>
      <c r="G118" t="s">
        <v>2648</v>
      </c>
      <c r="H118" t="s">
        <v>2649</v>
      </c>
    </row>
    <row r="119" spans="1:8" x14ac:dyDescent="0.35">
      <c r="A119" t="str">
        <f>'Fee Breakdown by Entity'!A180</f>
        <v>Luxembourg</v>
      </c>
      <c r="B119" t="str">
        <f>'Fee Breakdown by Entity'!D180</f>
        <v>Luxembourg RAIF</v>
      </c>
      <c r="C119" t="str">
        <f>TRIM(SUBSTITUTE('Fee Breakdown by Entity'!AT$4,CHAR(10)," "))</f>
        <v>Personal Director Fee</v>
      </c>
      <c r="D119" t="s">
        <v>2639</v>
      </c>
      <c r="E119" t="s">
        <v>2652</v>
      </c>
      <c r="F119" s="191">
        <f>IF('Fee Breakdown by Entity'!AT180="","",'Fee Breakdown by Entity'!AT180)</f>
        <v>2550</v>
      </c>
    </row>
    <row r="120" spans="1:8" x14ac:dyDescent="0.35">
      <c r="A120" t="str">
        <f>'Fee Breakdown by Entity'!A180</f>
        <v>Luxembourg</v>
      </c>
      <c r="B120" t="str">
        <f>'Fee Breakdown by Entity'!D180</f>
        <v>Luxembourg RAIF</v>
      </c>
      <c r="C120" t="str">
        <f>TRIM(SUBSTITUTE('Fee Breakdown by Entity'!AV$4,CHAR(10)," "))</f>
        <v>Registered Office Fee</v>
      </c>
      <c r="D120" t="s">
        <v>2639</v>
      </c>
      <c r="E120" t="s">
        <v>235</v>
      </c>
      <c r="F120" s="191">
        <f>IF('Fee Breakdown by Entity'!AV180="","",'Fee Breakdown by Entity'!AV180)</f>
        <v>1960</v>
      </c>
    </row>
    <row r="121" spans="1:8" x14ac:dyDescent="0.35">
      <c r="A121" t="str">
        <f>'Fee Breakdown by Entity'!A180</f>
        <v>Luxembourg</v>
      </c>
      <c r="B121" t="str">
        <f>'Fee Breakdown by Entity'!D180</f>
        <v>Luxembourg RAIF</v>
      </c>
      <c r="C121" t="str">
        <f>TRIM(SUBSTITUTE('Fee Breakdown by Entity'!AZ$4,CHAR(10)," "))</f>
        <v>Government Fee</v>
      </c>
      <c r="D121" t="s">
        <v>2639</v>
      </c>
      <c r="E121" t="s">
        <v>235</v>
      </c>
      <c r="F121" s="191">
        <f>IF('Fee Breakdown by Entity'!AZ180="","",'Fee Breakdown by Entity'!AZ180)</f>
        <v>350</v>
      </c>
      <c r="G121" t="s">
        <v>2650</v>
      </c>
      <c r="H121" t="s">
        <v>2651</v>
      </c>
    </row>
    <row r="122" spans="1:8" x14ac:dyDescent="0.35">
      <c r="A122" t="str">
        <f>'Fee Breakdown by Entity'!A184</f>
        <v>Malta</v>
      </c>
      <c r="B122" t="str">
        <f>'Fee Breakdown by Entity'!D184</f>
        <v>Malta SICAV</v>
      </c>
      <c r="C122" t="str">
        <f>TRIM(SUBSTITUTE('Fee Breakdown by Entity'!AL$4,CHAR(10)," "))</f>
        <v>Bank Account Opening with Amicorp Bank &amp; Trust</v>
      </c>
      <c r="D122" t="s">
        <v>2643</v>
      </c>
      <c r="E122" t="s">
        <v>235</v>
      </c>
      <c r="F122" s="191">
        <f>IF('Fee Breakdown by Entity'!AL184="","",'Fee Breakdown by Entity'!AL184)</f>
        <v>0</v>
      </c>
      <c r="G122" t="s">
        <v>2648</v>
      </c>
      <c r="H122" t="s">
        <v>2649</v>
      </c>
    </row>
    <row r="123" spans="1:8" x14ac:dyDescent="0.35">
      <c r="A123" t="str">
        <f>'Fee Breakdown by Entity'!A185</f>
        <v>Malta</v>
      </c>
      <c r="B123" t="str">
        <f>'Fee Breakdown by Entity'!D185</f>
        <v>Malta INVCO</v>
      </c>
      <c r="C123" t="str">
        <f>TRIM(SUBSTITUTE('Fee Breakdown by Entity'!AL$4,CHAR(10)," "))</f>
        <v>Bank Account Opening with Amicorp Bank &amp; Trust</v>
      </c>
      <c r="D123" t="s">
        <v>2643</v>
      </c>
      <c r="E123" t="s">
        <v>235</v>
      </c>
      <c r="F123" s="191">
        <f>IF('Fee Breakdown by Entity'!AL185="","",'Fee Breakdown by Entity'!AL185)</f>
        <v>0</v>
      </c>
      <c r="G123" t="s">
        <v>2648</v>
      </c>
      <c r="H123" t="s">
        <v>2649</v>
      </c>
    </row>
    <row r="124" spans="1:8" x14ac:dyDescent="0.35">
      <c r="A124" t="str">
        <f>'Fee Breakdown by Entity'!A186</f>
        <v>Malta</v>
      </c>
      <c r="B124" t="str">
        <f>'Fee Breakdown by Entity'!D186</f>
        <v>Malta LP</v>
      </c>
      <c r="C124" t="str">
        <f>TRIM(SUBSTITUTE('Fee Breakdown by Entity'!AL$4,CHAR(10)," "))</f>
        <v>Bank Account Opening with Amicorp Bank &amp; Trust</v>
      </c>
      <c r="D124" t="s">
        <v>2643</v>
      </c>
      <c r="E124" t="s">
        <v>235</v>
      </c>
      <c r="F124" s="191">
        <f>IF('Fee Breakdown by Entity'!AL186="","",'Fee Breakdown by Entity'!AL186)</f>
        <v>0</v>
      </c>
      <c r="G124" t="s">
        <v>2648</v>
      </c>
      <c r="H124" t="s">
        <v>2649</v>
      </c>
    </row>
    <row r="125" spans="1:8" x14ac:dyDescent="0.35">
      <c r="A125" t="str">
        <f>'Fee Breakdown by Entity'!A187</f>
        <v>Malta</v>
      </c>
      <c r="B125" t="str">
        <f>'Fee Breakdown by Entity'!D187</f>
        <v>Malta Unit Trust</v>
      </c>
      <c r="C125" t="str">
        <f>TRIM(SUBSTITUTE('Fee Breakdown by Entity'!AL$4,CHAR(10)," "))</f>
        <v>Bank Account Opening with Amicorp Bank &amp; Trust</v>
      </c>
      <c r="D125" t="s">
        <v>2643</v>
      </c>
      <c r="E125" t="s">
        <v>235</v>
      </c>
      <c r="F125" s="191">
        <f>IF('Fee Breakdown by Entity'!AL187="","",'Fee Breakdown by Entity'!AL187)</f>
        <v>0</v>
      </c>
      <c r="G125" t="s">
        <v>2648</v>
      </c>
      <c r="H125" t="s">
        <v>2649</v>
      </c>
    </row>
    <row r="126" spans="1:8" x14ac:dyDescent="0.35">
      <c r="A126" t="str">
        <f>'Fee Breakdown by Entity'!A188</f>
        <v>Malta</v>
      </c>
      <c r="B126" t="str">
        <f>'Fee Breakdown by Entity'!D188</f>
        <v>Malta CF</v>
      </c>
      <c r="C126" t="str">
        <f>TRIM(SUBSTITUTE('Fee Breakdown by Entity'!AL$4,CHAR(10)," "))</f>
        <v>Bank Account Opening with Amicorp Bank &amp; Trust</v>
      </c>
      <c r="D126" t="s">
        <v>2643</v>
      </c>
      <c r="E126" t="s">
        <v>235</v>
      </c>
      <c r="F126" s="191">
        <f>IF('Fee Breakdown by Entity'!AL188="","",'Fee Breakdown by Entity'!AL188)</f>
        <v>0</v>
      </c>
      <c r="G126" t="s">
        <v>2648</v>
      </c>
      <c r="H126" t="s">
        <v>2649</v>
      </c>
    </row>
    <row r="127" spans="1:8" x14ac:dyDescent="0.35">
      <c r="A127" t="str">
        <f>'Fee Breakdown by Entity'!A189</f>
        <v>Malta</v>
      </c>
      <c r="B127" t="str">
        <f>'Fee Breakdown by Entity'!D189</f>
        <v>Malta ICC</v>
      </c>
      <c r="C127" t="str">
        <f>TRIM(SUBSTITUTE('Fee Breakdown by Entity'!AL$4,CHAR(10)," "))</f>
        <v>Bank Account Opening with Amicorp Bank &amp; Trust</v>
      </c>
      <c r="D127" t="s">
        <v>2643</v>
      </c>
      <c r="E127" t="s">
        <v>235</v>
      </c>
      <c r="F127" s="191">
        <f>IF('Fee Breakdown by Entity'!AL189="","",'Fee Breakdown by Entity'!AL189)</f>
        <v>0</v>
      </c>
      <c r="G127" t="s">
        <v>2648</v>
      </c>
      <c r="H127" t="s">
        <v>2649</v>
      </c>
    </row>
    <row r="128" spans="1:8" x14ac:dyDescent="0.35">
      <c r="A128" t="str">
        <f>'Fee Breakdown by Entity'!A190</f>
        <v>Malta</v>
      </c>
      <c r="B128" t="str">
        <f>'Fee Breakdown by Entity'!D190</f>
        <v>Malta RICC</v>
      </c>
      <c r="C128" t="str">
        <f>TRIM(SUBSTITUTE('Fee Breakdown by Entity'!AL$4,CHAR(10)," "))</f>
        <v>Bank Account Opening with Amicorp Bank &amp; Trust</v>
      </c>
      <c r="D128" t="s">
        <v>2643</v>
      </c>
      <c r="E128" t="s">
        <v>235</v>
      </c>
      <c r="F128" s="191">
        <f>IF('Fee Breakdown by Entity'!AL190="","",'Fee Breakdown by Entity'!AL190)</f>
        <v>0</v>
      </c>
      <c r="G128" t="s">
        <v>2648</v>
      </c>
      <c r="H128" t="s">
        <v>2649</v>
      </c>
    </row>
    <row r="129" spans="1:8" x14ac:dyDescent="0.35">
      <c r="A129" t="str">
        <f>'Fee Breakdown by Entity'!A196</f>
        <v>Mauritius</v>
      </c>
      <c r="B129" t="str">
        <f>'Fee Breakdown by Entity'!D196</f>
        <v>Mauritius Ltd</v>
      </c>
      <c r="C129" t="str">
        <f>TRIM(SUBSTITUTE('Fee Breakdown by Entity'!AL$4,CHAR(10)," "))</f>
        <v>Bank Account Opening with Amicorp Bank &amp; Trust</v>
      </c>
      <c r="D129" t="s">
        <v>2643</v>
      </c>
      <c r="E129" t="s">
        <v>235</v>
      </c>
      <c r="F129" s="191">
        <f>IF('Fee Breakdown by Entity'!AL196="","",'Fee Breakdown by Entity'!AL196)</f>
        <v>0</v>
      </c>
      <c r="G129" t="s">
        <v>2648</v>
      </c>
      <c r="H129" t="s">
        <v>2649</v>
      </c>
    </row>
    <row r="130" spans="1:8" x14ac:dyDescent="0.35">
      <c r="A130" t="str">
        <f>'Fee Breakdown by Entity'!A197</f>
        <v>Mauritius</v>
      </c>
      <c r="B130" t="str">
        <f>'Fee Breakdown by Entity'!D197</f>
        <v>Mauritius PCC</v>
      </c>
      <c r="C130" t="str">
        <f>TRIM(SUBSTITUTE('Fee Breakdown by Entity'!AL$4,CHAR(10)," "))</f>
        <v>Bank Account Opening with Amicorp Bank &amp; Trust</v>
      </c>
      <c r="D130" t="s">
        <v>2643</v>
      </c>
      <c r="E130" t="s">
        <v>235</v>
      </c>
      <c r="F130" s="191">
        <f>IF('Fee Breakdown by Entity'!AL197="","",'Fee Breakdown by Entity'!AL197)</f>
        <v>0</v>
      </c>
      <c r="G130" t="s">
        <v>2648</v>
      </c>
      <c r="H130" t="s">
        <v>2649</v>
      </c>
    </row>
    <row r="131" spans="1:8" x14ac:dyDescent="0.35">
      <c r="A131" t="str">
        <f>'Fee Breakdown by Entity'!A198</f>
        <v>Mauritius</v>
      </c>
      <c r="B131" t="str">
        <f>'Fee Breakdown by Entity'!D198</f>
        <v>Mauritius LP</v>
      </c>
      <c r="C131" t="str">
        <f>TRIM(SUBSTITUTE('Fee Breakdown by Entity'!AL$4,CHAR(10)," "))</f>
        <v>Bank Account Opening with Amicorp Bank &amp; Trust</v>
      </c>
      <c r="D131" t="s">
        <v>2643</v>
      </c>
      <c r="E131" t="s">
        <v>235</v>
      </c>
      <c r="F131" s="191">
        <f>IF('Fee Breakdown by Entity'!AL198="","",'Fee Breakdown by Entity'!AL198)</f>
        <v>0</v>
      </c>
      <c r="G131" t="s">
        <v>2648</v>
      </c>
      <c r="H131" t="s">
        <v>2649</v>
      </c>
    </row>
    <row r="132" spans="1:8" x14ac:dyDescent="0.35">
      <c r="A132" t="str">
        <f>'Fee Breakdown by Entity'!A199</f>
        <v>Mauritius</v>
      </c>
      <c r="B132" t="str">
        <f>'Fee Breakdown by Entity'!D199</f>
        <v>Mauritius VCC</v>
      </c>
      <c r="C132" t="str">
        <f>TRIM(SUBSTITUTE('Fee Breakdown by Entity'!AD$4,CHAR(10)," "))</f>
        <v>Setup Fee</v>
      </c>
      <c r="D132" t="s">
        <v>2643</v>
      </c>
      <c r="E132" t="s">
        <v>235</v>
      </c>
      <c r="F132" s="191">
        <f>IF('Fee Breakdown by Entity'!AD199="","",'Fee Breakdown by Entity'!AD199)</f>
        <v>4500</v>
      </c>
      <c r="G132" t="s">
        <v>2650</v>
      </c>
      <c r="H132" t="s">
        <v>2651</v>
      </c>
    </row>
    <row r="133" spans="1:8" x14ac:dyDescent="0.35">
      <c r="A133" t="str">
        <f>'Fee Breakdown by Entity'!A199</f>
        <v>Mauritius</v>
      </c>
      <c r="B133" t="str">
        <f>'Fee Breakdown by Entity'!D199</f>
        <v>Mauritius VCC</v>
      </c>
      <c r="C133" t="str">
        <f>TRIM(SUBSTITUTE('Fee Breakdown by Entity'!AL$4,CHAR(10)," "))</f>
        <v>Bank Account Opening with Amicorp Bank &amp; Trust</v>
      </c>
      <c r="D133" t="s">
        <v>2643</v>
      </c>
      <c r="E133" t="s">
        <v>235</v>
      </c>
      <c r="F133" s="191">
        <f>IF('Fee Breakdown by Entity'!AL199="","",'Fee Breakdown by Entity'!AL199)</f>
        <v>0</v>
      </c>
      <c r="G133" t="s">
        <v>2648</v>
      </c>
      <c r="H133" t="s">
        <v>2649</v>
      </c>
    </row>
    <row r="134" spans="1:8" x14ac:dyDescent="0.35">
      <c r="A134" t="str">
        <f>'Fee Breakdown by Entity'!A199</f>
        <v>Mauritius</v>
      </c>
      <c r="B134" t="str">
        <f>'Fee Breakdown by Entity'!D199</f>
        <v>Mauritius VCC</v>
      </c>
      <c r="C134" t="str">
        <f>TRIM(SUBSTITUTE('Fee Breakdown by Entity'!AN$4,CHAR(10)," "))</f>
        <v>Bank Account Opening Third Party Bank (retainer)</v>
      </c>
      <c r="D134" t="s">
        <v>2643</v>
      </c>
      <c r="E134" t="s">
        <v>2652</v>
      </c>
      <c r="F134" s="191">
        <f>IF('Fee Breakdown by Entity'!AN199="","",'Fee Breakdown by Entity'!AN199)</f>
        <v>1000</v>
      </c>
      <c r="G134" t="s">
        <v>2648</v>
      </c>
      <c r="H134" t="s">
        <v>2649</v>
      </c>
    </row>
    <row r="135" spans="1:8" x14ac:dyDescent="0.35">
      <c r="A135" t="str">
        <f>'Fee Breakdown by Entity'!A199</f>
        <v>Mauritius</v>
      </c>
      <c r="B135" t="str">
        <f>'Fee Breakdown by Entity'!D199</f>
        <v>Mauritius VCC</v>
      </c>
      <c r="C135" t="str">
        <f>TRIM(SUBSTITUTE('Fee Breakdown by Entity'!AP$4,CHAR(10)," "))</f>
        <v>Corporate Director Fee</v>
      </c>
      <c r="D135" t="s">
        <v>2639</v>
      </c>
      <c r="E135" t="s">
        <v>235</v>
      </c>
      <c r="F135" s="191">
        <f>IF('Fee Breakdown by Entity'!AP199="","",'Fee Breakdown by Entity'!AP199)</f>
        <v>3000</v>
      </c>
    </row>
    <row r="136" spans="1:8" x14ac:dyDescent="0.35">
      <c r="A136" t="str">
        <f>'Fee Breakdown by Entity'!A199</f>
        <v>Mauritius</v>
      </c>
      <c r="B136" t="str">
        <f>'Fee Breakdown by Entity'!D199</f>
        <v>Mauritius VCC</v>
      </c>
      <c r="C136" t="str">
        <f>TRIM(SUBSTITUTE('Fee Breakdown by Entity'!AV$4,CHAR(10)," "))</f>
        <v>Registered Office Fee</v>
      </c>
      <c r="D136" t="s">
        <v>2639</v>
      </c>
      <c r="E136" t="s">
        <v>235</v>
      </c>
      <c r="F136" s="191">
        <f>IF('Fee Breakdown by Entity'!AV199="","",'Fee Breakdown by Entity'!AV199)</f>
        <v>2500</v>
      </c>
    </row>
    <row r="137" spans="1:8" x14ac:dyDescent="0.35">
      <c r="A137" t="str">
        <f>'Fee Breakdown by Entity'!A199</f>
        <v>Mauritius</v>
      </c>
      <c r="B137" t="str">
        <f>'Fee Breakdown by Entity'!D199</f>
        <v>Mauritius VCC</v>
      </c>
      <c r="C137" t="str">
        <f>TRIM(SUBSTITUTE('Fee Breakdown by Entity'!AX$4,CHAR(10)," "))</f>
        <v>Corporate Secretary Fee</v>
      </c>
      <c r="D137" t="s">
        <v>2639</v>
      </c>
      <c r="E137" t="s">
        <v>235</v>
      </c>
      <c r="F137" s="191">
        <f>IF('Fee Breakdown by Entity'!AX199="","",'Fee Breakdown by Entity'!AX199)</f>
        <v>1500</v>
      </c>
    </row>
    <row r="138" spans="1:8" x14ac:dyDescent="0.35">
      <c r="A138" t="str">
        <f>'Fee Breakdown by Entity'!A199</f>
        <v>Mauritius</v>
      </c>
      <c r="B138" t="str">
        <f>'Fee Breakdown by Entity'!D199</f>
        <v>Mauritius VCC</v>
      </c>
      <c r="C138" t="str">
        <f>TRIM(SUBSTITUTE('Fee Breakdown by Entity'!BB$4,CHAR(10)," "))</f>
        <v>Regulatory Authority Fee</v>
      </c>
      <c r="D138" t="s">
        <v>2639</v>
      </c>
      <c r="E138" t="s">
        <v>235</v>
      </c>
      <c r="F138" s="191">
        <f>IF('Fee Breakdown by Entity'!BB199="","",'Fee Breakdown by Entity'!BB199)</f>
        <v>2510</v>
      </c>
    </row>
    <row r="139" spans="1:8" x14ac:dyDescent="0.35">
      <c r="A139" t="str">
        <f>'Fee Breakdown by Entity'!A210</f>
        <v>Netherlands</v>
      </c>
      <c r="B139" t="str">
        <f>'Fee Breakdown by Entity'!D210</f>
        <v>Netherlands FGR</v>
      </c>
      <c r="C139" t="str">
        <f>TRIM(SUBSTITUTE('Fee Breakdown by Entity'!AD$4,CHAR(10)," "))</f>
        <v>Setup Fee</v>
      </c>
      <c r="D139" t="s">
        <v>2643</v>
      </c>
      <c r="E139" t="s">
        <v>235</v>
      </c>
      <c r="F139" s="191">
        <f>IF('Fee Breakdown by Entity'!AD210="","",'Fee Breakdown by Entity'!AD210)</f>
        <v>3500</v>
      </c>
      <c r="G139" t="s">
        <v>2650</v>
      </c>
      <c r="H139" t="s">
        <v>2651</v>
      </c>
    </row>
    <row r="140" spans="1:8" x14ac:dyDescent="0.35">
      <c r="A140" t="str">
        <f>'Fee Breakdown by Entity'!A210</f>
        <v>Netherlands</v>
      </c>
      <c r="B140" t="str">
        <f>'Fee Breakdown by Entity'!D210</f>
        <v>Netherlands FGR</v>
      </c>
      <c r="C140" t="str">
        <f>TRIM(SUBSTITUTE('Fee Breakdown by Entity'!AL$4,CHAR(10)," "))</f>
        <v>Bank Account Opening with Amicorp Bank &amp; Trust</v>
      </c>
      <c r="D140" t="s">
        <v>2643</v>
      </c>
      <c r="E140" t="s">
        <v>235</v>
      </c>
      <c r="F140" s="191">
        <f>IF('Fee Breakdown by Entity'!AL210="","",'Fee Breakdown by Entity'!AL210)</f>
        <v>0</v>
      </c>
      <c r="G140" t="s">
        <v>2648</v>
      </c>
      <c r="H140" t="s">
        <v>2649</v>
      </c>
    </row>
    <row r="141" spans="1:8" x14ac:dyDescent="0.35">
      <c r="A141" t="str">
        <f>'Fee Breakdown by Entity'!A210</f>
        <v>Netherlands</v>
      </c>
      <c r="B141" t="str">
        <f>'Fee Breakdown by Entity'!D210</f>
        <v>Netherlands FGR</v>
      </c>
      <c r="C141" t="str">
        <f>TRIM(SUBSTITUTE('Fee Breakdown by Entity'!AP$4,CHAR(10)," "))</f>
        <v>Corporate Director Fee</v>
      </c>
      <c r="D141" t="s">
        <v>2639</v>
      </c>
      <c r="E141" t="s">
        <v>235</v>
      </c>
      <c r="F141" s="191">
        <f>IF('Fee Breakdown by Entity'!AP210="","",'Fee Breakdown by Entity'!AP210)</f>
        <v>3820</v>
      </c>
    </row>
    <row r="142" spans="1:8" x14ac:dyDescent="0.35">
      <c r="A142" t="str">
        <f>'Fee Breakdown by Entity'!A210</f>
        <v>Netherlands</v>
      </c>
      <c r="B142" t="str">
        <f>'Fee Breakdown by Entity'!D210</f>
        <v>Netherlands FGR</v>
      </c>
      <c r="C142" t="str">
        <f>TRIM(SUBSTITUTE('Fee Breakdown by Entity'!AT$4,CHAR(10)," "))</f>
        <v>Personal Director Fee</v>
      </c>
      <c r="D142" t="s">
        <v>2639</v>
      </c>
      <c r="E142" t="s">
        <v>2652</v>
      </c>
      <c r="F142" s="191">
        <f>IF('Fee Breakdown by Entity'!AT210="","",'Fee Breakdown by Entity'!AT210)</f>
        <v>6100</v>
      </c>
    </row>
    <row r="143" spans="1:8" x14ac:dyDescent="0.35">
      <c r="A143" t="str">
        <f>'Fee Breakdown by Entity'!A210</f>
        <v>Netherlands</v>
      </c>
      <c r="B143" t="str">
        <f>'Fee Breakdown by Entity'!D210</f>
        <v>Netherlands FGR</v>
      </c>
      <c r="C143" t="str">
        <f>TRIM(SUBSTITUTE('Fee Breakdown by Entity'!AV$4,CHAR(10)," "))</f>
        <v>Registered Office Fee</v>
      </c>
      <c r="D143" t="s">
        <v>2639</v>
      </c>
      <c r="E143" t="s">
        <v>235</v>
      </c>
      <c r="F143" s="191">
        <f>IF('Fee Breakdown by Entity'!AV210="","",'Fee Breakdown by Entity'!AV210)</f>
        <v>2040</v>
      </c>
    </row>
    <row r="144" spans="1:8" x14ac:dyDescent="0.35">
      <c r="A144" t="str">
        <f>'Fee Breakdown by Entity'!A210</f>
        <v>Netherlands</v>
      </c>
      <c r="B144" t="str">
        <f>'Fee Breakdown by Entity'!D210</f>
        <v>Netherlands FGR</v>
      </c>
      <c r="C144" t="str">
        <f>TRIM(SUBSTITUTE('Fee Breakdown by Entity'!BB$4,CHAR(10)," "))</f>
        <v>Regulatory Authority Fee</v>
      </c>
      <c r="D144" t="s">
        <v>2639</v>
      </c>
      <c r="E144" t="s">
        <v>235</v>
      </c>
      <c r="F144" s="191">
        <f>IF('Fee Breakdown by Entity'!BB210="","",'Fee Breakdown by Entity'!BB210)</f>
        <v>1750</v>
      </c>
    </row>
    <row r="145" spans="1:8" x14ac:dyDescent="0.35">
      <c r="A145" t="str">
        <f>'Fee Breakdown by Entity'!A229</f>
        <v>Peru</v>
      </c>
      <c r="B145" t="str">
        <f>'Fee Breakdown by Entity'!D229</f>
        <v>Peru Fondo de Inversion</v>
      </c>
      <c r="C145" t="str">
        <f>TRIM(SUBSTITUTE('Fee Breakdown by Entity'!AL$4,CHAR(10)," "))</f>
        <v>Bank Account Opening with Amicorp Bank &amp; Trust</v>
      </c>
      <c r="D145" t="s">
        <v>2643</v>
      </c>
      <c r="E145" t="s">
        <v>235</v>
      </c>
      <c r="F145" s="191">
        <f>IF('Fee Breakdown by Entity'!AL229="","",'Fee Breakdown by Entity'!AL229)</f>
        <v>0</v>
      </c>
      <c r="G145" t="s">
        <v>2648</v>
      </c>
      <c r="H145" t="s">
        <v>2649</v>
      </c>
    </row>
    <row r="146" spans="1:8" x14ac:dyDescent="0.35">
      <c r="A146" t="str">
        <f>'Fee Breakdown by Entity'!A230</f>
        <v>Peru</v>
      </c>
      <c r="B146" t="str">
        <f>'Fee Breakdown by Entity'!D230</f>
        <v>Peru Fondo Mutuo</v>
      </c>
      <c r="C146" t="str">
        <f>TRIM(SUBSTITUTE('Fee Breakdown by Entity'!AL$4,CHAR(10)," "))</f>
        <v>Bank Account Opening with Amicorp Bank &amp; Trust</v>
      </c>
      <c r="D146" t="s">
        <v>2643</v>
      </c>
      <c r="E146" t="s">
        <v>235</v>
      </c>
      <c r="F146" s="191">
        <f>IF('Fee Breakdown by Entity'!AL230="","",'Fee Breakdown by Entity'!AL230)</f>
        <v>0</v>
      </c>
      <c r="G146" t="s">
        <v>2648</v>
      </c>
      <c r="H146" t="s">
        <v>2649</v>
      </c>
    </row>
    <row r="147" spans="1:8" x14ac:dyDescent="0.35">
      <c r="A147" t="str">
        <f>'Fee Breakdown by Entity'!A231</f>
        <v>Peru</v>
      </c>
      <c r="B147" t="str">
        <f>'Fee Breakdown by Entity'!D231</f>
        <v>Peru Fideicomiso de Inversion</v>
      </c>
      <c r="C147" t="str">
        <f>TRIM(SUBSTITUTE('Fee Breakdown by Entity'!AL$4,CHAR(10)," "))</f>
        <v>Bank Account Opening with Amicorp Bank &amp; Trust</v>
      </c>
      <c r="D147" t="s">
        <v>2643</v>
      </c>
      <c r="E147" t="s">
        <v>235</v>
      </c>
      <c r="F147" s="191">
        <f>IF('Fee Breakdown by Entity'!AL231="","",'Fee Breakdown by Entity'!AL231)</f>
        <v>0</v>
      </c>
      <c r="G147" t="s">
        <v>2648</v>
      </c>
      <c r="H147" t="s">
        <v>2649</v>
      </c>
    </row>
    <row r="148" spans="1:8" x14ac:dyDescent="0.35">
      <c r="A148" t="str">
        <f>'Fee Breakdown by Entity'!A232</f>
        <v>Peru</v>
      </c>
      <c r="B148" t="str">
        <f>'Fee Breakdown by Entity'!D232</f>
        <v>Peru SA</v>
      </c>
      <c r="C148" t="str">
        <f>TRIM(SUBSTITUTE('Fee Breakdown by Entity'!AL$4,CHAR(10)," "))</f>
        <v>Bank Account Opening with Amicorp Bank &amp; Trust</v>
      </c>
      <c r="D148" t="s">
        <v>2643</v>
      </c>
      <c r="E148" t="s">
        <v>235</v>
      </c>
      <c r="F148" s="191">
        <f>IF('Fee Breakdown by Entity'!AL232="","",'Fee Breakdown by Entity'!AL232)</f>
        <v>0</v>
      </c>
      <c r="G148" t="s">
        <v>2648</v>
      </c>
      <c r="H148" t="s">
        <v>2649</v>
      </c>
    </row>
    <row r="149" spans="1:8" x14ac:dyDescent="0.35">
      <c r="A149" t="str">
        <f>'Fee Breakdown by Entity'!A233</f>
        <v>Peru</v>
      </c>
      <c r="B149" t="str">
        <f>'Fee Breakdown by Entity'!D233</f>
        <v>Peru SC</v>
      </c>
      <c r="C149" t="str">
        <f>TRIM(SUBSTITUTE('Fee Breakdown by Entity'!AL$4,CHAR(10)," "))</f>
        <v>Bank Account Opening with Amicorp Bank &amp; Trust</v>
      </c>
      <c r="D149" t="s">
        <v>2643</v>
      </c>
      <c r="E149" t="s">
        <v>235</v>
      </c>
      <c r="F149" s="191">
        <f>IF('Fee Breakdown by Entity'!AL233="","",'Fee Breakdown by Entity'!AL233)</f>
        <v>0</v>
      </c>
      <c r="G149" t="s">
        <v>2648</v>
      </c>
      <c r="H149" t="s">
        <v>2649</v>
      </c>
    </row>
    <row r="150" spans="1:8" x14ac:dyDescent="0.35">
      <c r="A150" t="str">
        <f>'Fee Breakdown by Entity'!A247</f>
        <v>Singapore</v>
      </c>
      <c r="B150" t="str">
        <f>'Fee Breakdown by Entity'!D247</f>
        <v>Singapore VCC</v>
      </c>
      <c r="C150" t="str">
        <f>TRIM(SUBSTITUTE('Fee Breakdown by Entity'!AL$4,CHAR(10)," "))</f>
        <v>Bank Account Opening with Amicorp Bank &amp; Trust</v>
      </c>
      <c r="D150" t="s">
        <v>2643</v>
      </c>
      <c r="E150" t="s">
        <v>235</v>
      </c>
      <c r="F150" s="191">
        <f>IF('Fee Breakdown by Entity'!AL247="","",'Fee Breakdown by Entity'!AL247)</f>
        <v>0</v>
      </c>
      <c r="G150" t="s">
        <v>2648</v>
      </c>
      <c r="H150" t="s">
        <v>2649</v>
      </c>
    </row>
    <row r="151" spans="1:8" x14ac:dyDescent="0.35">
      <c r="A151" t="str">
        <f>'Fee Breakdown by Entity'!A247</f>
        <v>Singapore</v>
      </c>
      <c r="B151" t="str">
        <f>'Fee Breakdown by Entity'!D247</f>
        <v>Singapore VCC</v>
      </c>
      <c r="C151" t="str">
        <f>TRIM(SUBSTITUTE('Fee Breakdown by Entity'!AP$4,CHAR(10)," "))</f>
        <v>Corporate Director Fee</v>
      </c>
      <c r="D151" t="s">
        <v>2639</v>
      </c>
      <c r="E151" t="s">
        <v>235</v>
      </c>
      <c r="F151" s="191">
        <f>IF('Fee Breakdown by Entity'!AP247="","",'Fee Breakdown by Entity'!AP247)</f>
        <v>5000</v>
      </c>
      <c r="G151" t="s">
        <v>2650</v>
      </c>
      <c r="H151" t="s">
        <v>2651</v>
      </c>
    </row>
    <row r="152" spans="1:8" x14ac:dyDescent="0.35">
      <c r="A152" t="str">
        <f>'Fee Breakdown by Entity'!A249</f>
        <v>Singapore</v>
      </c>
      <c r="B152" t="str">
        <f>'Fee Breakdown by Entity'!D249</f>
        <v>Singapore Unit Trust</v>
      </c>
      <c r="C152" t="str">
        <f>TRIM(SUBSTITUTE('Fee Breakdown by Entity'!AL$4,CHAR(10)," "))</f>
        <v>Bank Account Opening with Amicorp Bank &amp; Trust</v>
      </c>
      <c r="D152" t="s">
        <v>2643</v>
      </c>
      <c r="E152" t="s">
        <v>235</v>
      </c>
      <c r="F152" s="191">
        <f>IF('Fee Breakdown by Entity'!AL249="","",'Fee Breakdown by Entity'!AL249)</f>
        <v>0</v>
      </c>
      <c r="G152" t="s">
        <v>2648</v>
      </c>
      <c r="H152" t="s">
        <v>2649</v>
      </c>
    </row>
    <row r="153" spans="1:8" x14ac:dyDescent="0.35">
      <c r="A153" t="str">
        <f>'Fee Breakdown by Entity'!A250</f>
        <v>Singapore</v>
      </c>
      <c r="B153" t="str">
        <f>'Fee Breakdown by Entity'!D250</f>
        <v>Singapore LP</v>
      </c>
      <c r="C153" t="str">
        <f>TRIM(SUBSTITUTE('Fee Breakdown by Entity'!AL$4,CHAR(10)," "))</f>
        <v>Bank Account Opening with Amicorp Bank &amp; Trust</v>
      </c>
      <c r="D153" t="s">
        <v>2643</v>
      </c>
      <c r="E153" t="s">
        <v>235</v>
      </c>
      <c r="F153" s="191">
        <f>IF('Fee Breakdown by Entity'!AL250="","",'Fee Breakdown by Entity'!AL250)</f>
        <v>0</v>
      </c>
      <c r="G153" t="s">
        <v>2648</v>
      </c>
      <c r="H153" t="s">
        <v>2649</v>
      </c>
    </row>
    <row r="154" spans="1:8" x14ac:dyDescent="0.35">
      <c r="A154" t="str">
        <f>'Fee Breakdown by Entity'!A251</f>
        <v>Singapore</v>
      </c>
      <c r="B154" t="str">
        <f>'Fee Breakdown by Entity'!D251</f>
        <v>Singapore Ltd</v>
      </c>
      <c r="C154" t="str">
        <f>TRIM(SUBSTITUTE('Fee Breakdown by Entity'!AL$4,CHAR(10)," "))</f>
        <v>Bank Account Opening with Amicorp Bank &amp; Trust</v>
      </c>
      <c r="D154" t="s">
        <v>2643</v>
      </c>
      <c r="E154" t="s">
        <v>235</v>
      </c>
      <c r="F154" s="191">
        <f>IF('Fee Breakdown by Entity'!AL251="","",'Fee Breakdown by Entity'!AL251)</f>
        <v>0</v>
      </c>
      <c r="G154" t="s">
        <v>2648</v>
      </c>
      <c r="H154" t="s">
        <v>2649</v>
      </c>
    </row>
    <row r="155" spans="1:8" x14ac:dyDescent="0.35">
      <c r="A155" t="str">
        <f>'Fee Breakdown by Entity'!A252</f>
        <v>Singapore</v>
      </c>
      <c r="B155" t="str">
        <f>'Fee Breakdown by Entity'!D252</f>
        <v>Singapore Business Trust / REIT</v>
      </c>
      <c r="C155" t="str">
        <f>TRIM(SUBSTITUTE('Fee Breakdown by Entity'!AL$4,CHAR(10)," "))</f>
        <v>Bank Account Opening with Amicorp Bank &amp; Trust</v>
      </c>
      <c r="D155" t="s">
        <v>2643</v>
      </c>
      <c r="E155" t="s">
        <v>235</v>
      </c>
      <c r="F155" s="191">
        <f>IF('Fee Breakdown by Entity'!AL252="","",'Fee Breakdown by Entity'!AL252)</f>
        <v>0</v>
      </c>
      <c r="G155" t="s">
        <v>2648</v>
      </c>
      <c r="H155" t="s">
        <v>2649</v>
      </c>
    </row>
    <row r="156" spans="1:8" x14ac:dyDescent="0.35">
      <c r="A156" t="str">
        <f>'Fee Breakdown by Entity'!A264</f>
        <v>Spain</v>
      </c>
      <c r="B156" t="str">
        <f>'Fee Breakdown by Entity'!D264</f>
        <v>Spain SCR</v>
      </c>
      <c r="C156" t="str">
        <f>TRIM(SUBSTITUTE('Fee Breakdown by Entity'!AL$4,CHAR(10)," "))</f>
        <v>Bank Account Opening with Amicorp Bank &amp; Trust</v>
      </c>
      <c r="D156" t="s">
        <v>2643</v>
      </c>
      <c r="E156" t="s">
        <v>235</v>
      </c>
      <c r="F156" s="191">
        <f>IF('Fee Breakdown by Entity'!AL264="","",'Fee Breakdown by Entity'!AL264)</f>
        <v>0</v>
      </c>
      <c r="G156" t="s">
        <v>2648</v>
      </c>
      <c r="H156" t="s">
        <v>2649</v>
      </c>
    </row>
    <row r="157" spans="1:8" x14ac:dyDescent="0.35">
      <c r="A157" t="str">
        <f>'Fee Breakdown by Entity'!A265</f>
        <v>Spain</v>
      </c>
      <c r="B157" t="str">
        <f>'Fee Breakdown by Entity'!D265</f>
        <v>Spain FCR</v>
      </c>
      <c r="C157" t="str">
        <f>TRIM(SUBSTITUTE('Fee Breakdown by Entity'!AL$4,CHAR(10)," "))</f>
        <v>Bank Account Opening with Amicorp Bank &amp; Trust</v>
      </c>
      <c r="D157" t="s">
        <v>2643</v>
      </c>
      <c r="E157" t="s">
        <v>235</v>
      </c>
      <c r="F157" s="191">
        <f>IF('Fee Breakdown by Entity'!AL265="","",'Fee Breakdown by Entity'!AL265)</f>
        <v>0</v>
      </c>
      <c r="G157" t="s">
        <v>2648</v>
      </c>
      <c r="H157" t="s">
        <v>2649</v>
      </c>
    </row>
    <row r="158" spans="1:8" x14ac:dyDescent="0.35">
      <c r="A158" t="str">
        <f>'Fee Breakdown by Entity'!A266</f>
        <v>Spain</v>
      </c>
      <c r="B158" t="str">
        <f>'Fee Breakdown by Entity'!D266</f>
        <v>Spain SICC</v>
      </c>
      <c r="C158" t="str">
        <f>TRIM(SUBSTITUTE('Fee Breakdown by Entity'!AL$4,CHAR(10)," "))</f>
        <v>Bank Account Opening with Amicorp Bank &amp; Trust</v>
      </c>
      <c r="D158" t="s">
        <v>2643</v>
      </c>
      <c r="E158" t="s">
        <v>235</v>
      </c>
      <c r="F158" s="191">
        <f>IF('Fee Breakdown by Entity'!AL266="","",'Fee Breakdown by Entity'!AL266)</f>
        <v>0</v>
      </c>
      <c r="G158" t="s">
        <v>2648</v>
      </c>
      <c r="H158" t="s">
        <v>2649</v>
      </c>
    </row>
    <row r="159" spans="1:8" x14ac:dyDescent="0.35">
      <c r="A159" t="str">
        <f>'Fee Breakdown by Entity'!A267</f>
        <v>Spain</v>
      </c>
      <c r="B159" t="str">
        <f>'Fee Breakdown by Entity'!D267</f>
        <v>Spain FICC</v>
      </c>
      <c r="C159" t="str">
        <f>TRIM(SUBSTITUTE('Fee Breakdown by Entity'!AL$4,CHAR(10)," "))</f>
        <v>Bank Account Opening with Amicorp Bank &amp; Trust</v>
      </c>
      <c r="D159" t="s">
        <v>2643</v>
      </c>
      <c r="E159" t="s">
        <v>235</v>
      </c>
      <c r="F159" s="191">
        <f>IF('Fee Breakdown by Entity'!AL267="","",'Fee Breakdown by Entity'!AL267)</f>
        <v>0</v>
      </c>
      <c r="G159" t="s">
        <v>2648</v>
      </c>
      <c r="H159" t="s">
        <v>2649</v>
      </c>
    </row>
  </sheetData>
  <autoFilter ref="A1:I159" xr:uid="{85BDDAE4-9339-4D61-978B-B44300E4347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fab878-5415-450c-8542-54b16ee32ec6" xsi:nil="true"/>
    <lcf76f155ced4ddcb4097134ff3c332f xmlns="1453ef92-65c4-439d-a16b-1cfca66d93dc">
      <Terms xmlns="http://schemas.microsoft.com/office/infopath/2007/PartnerControls"/>
    </lcf76f155ced4ddcb4097134ff3c332f>
    <SharedWithUsers xmlns="20fab878-5415-450c-8542-54b16ee32ec6">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60A19B16B1E184CA1092F4855C6A4D2" ma:contentTypeVersion="14" ma:contentTypeDescription="Create a new document." ma:contentTypeScope="" ma:versionID="62a446ecc7e781df11b0347a38497c86">
  <xsd:schema xmlns:xsd="http://www.w3.org/2001/XMLSchema" xmlns:xs="http://www.w3.org/2001/XMLSchema" xmlns:p="http://schemas.microsoft.com/office/2006/metadata/properties" xmlns:ns2="1453ef92-65c4-439d-a16b-1cfca66d93dc" xmlns:ns3="20fab878-5415-450c-8542-54b16ee32ec6" targetNamespace="http://schemas.microsoft.com/office/2006/metadata/properties" ma:root="true" ma:fieldsID="5f240cb56023b2c867c0f8d2e6a425fc" ns2:_="" ns3:_="">
    <xsd:import namespace="1453ef92-65c4-439d-a16b-1cfca66d93dc"/>
    <xsd:import namespace="20fab878-5415-450c-8542-54b16ee32e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53ef92-65c4-439d-a16b-1cfca66d93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698500e-2178-425e-bb57-7f1934a19f7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0fab878-5415-450c-8542-54b16ee32ec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043932b-3580-4878-92c2-91add3221853}" ma:internalName="TaxCatchAll" ma:showField="CatchAllData" ma:web="20fab878-5415-450c-8542-54b16ee32e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5A63A2-265D-4CC1-A4F6-C5E99FE30B5B}">
  <ds:schemaRefs>
    <ds:schemaRef ds:uri="http://schemas.microsoft.com/office/2006/metadata/properties"/>
    <ds:schemaRef ds:uri="http://schemas.microsoft.com/office/infopath/2007/PartnerControls"/>
    <ds:schemaRef ds:uri="20fab878-5415-450c-8542-54b16ee32ec6"/>
    <ds:schemaRef ds:uri="1453ef92-65c4-439d-a16b-1cfca66d93dc"/>
  </ds:schemaRefs>
</ds:datastoreItem>
</file>

<file path=customXml/itemProps2.xml><?xml version="1.0" encoding="utf-8"?>
<ds:datastoreItem xmlns:ds="http://schemas.openxmlformats.org/officeDocument/2006/customXml" ds:itemID="{3E12974A-DB5B-42BE-A4B3-D4F46AFFB590}">
  <ds:schemaRefs>
    <ds:schemaRef ds:uri="http://schemas.microsoft.com/sharepoint/v3/contenttype/forms"/>
  </ds:schemaRefs>
</ds:datastoreItem>
</file>

<file path=customXml/itemProps3.xml><?xml version="1.0" encoding="utf-8"?>
<ds:datastoreItem xmlns:ds="http://schemas.openxmlformats.org/officeDocument/2006/customXml" ds:itemID="{30C327BD-32EB-4D6B-BC35-541D16721D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53ef92-65c4-439d-a16b-1cfca66d93dc"/>
    <ds:schemaRef ds:uri="20fab878-5415-450c-8542-54b16ee32e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Fee Breakdown by Entity</vt:lpstr>
      <vt:lpstr>Verify</vt:lpstr>
      <vt:lpstr>Juris</vt:lpstr>
      <vt:lpstr>Juris+EntiType</vt:lpstr>
      <vt:lpstr>Juris+EntiType_Subtype</vt:lpstr>
      <vt:lpstr>Fund Products</vt:lpstr>
      <vt:lpstr>Fund 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Haneel Teja Nalluru</cp:lastModifiedBy>
  <cp:revision>0</cp:revision>
  <dcterms:created xsi:type="dcterms:W3CDTF">2026-05-15T03:39:04Z</dcterms:created>
  <dcterms:modified xsi:type="dcterms:W3CDTF">2026-07-28T08:06:43Z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0x010100960A19B16B1E184CA1092F4855C6A4D2</vt:lpwstr>
  </property>
  <property fmtid="{D5CDD505-2E9C-101B-9397-08002B2CF9AE}" pid="3" name="Order">
    <vt:r8>4332900</vt:r8>
  </property>
  <property fmtid="{D5CDD505-2E9C-101B-9397-08002B2CF9AE}" pid="4" name="TriggerFlowInfo">
    <vt:lpwstr/>
  </property>
  <property fmtid="{D5CDD505-2E9C-101B-9397-08002B2CF9AE}" pid="5" name="ComplianceAssetId">
    <vt:lpwstr/>
  </property>
  <property fmtid="{D5CDD505-2E9C-101B-9397-08002B2CF9AE}" pid="6" name="_activity">
    <vt:lpwstr>{"FileActivityType":"9","FileActivityTimeStamp":"2026-07-17T04:30:05.257Z","FileActivityUsersOnPage":[{"DisplayName":"Derk Scheltema","Id":"d.scheltema@amicorp.com"},{"DisplayName":"Mahesh Loganathan","Id":"m.loganathan@amicorp.com"},{"DisplayName":"Derk Scheltema","Id":"d.scheltema@amicorp.com"}],"FileActivityNavigationId":null}</vt:lpwstr>
  </property>
  <property fmtid="{D5CDD505-2E9C-101B-9397-08002B2CF9AE}" pid="7" name="_ExtendedDescription">
    <vt:lpwstr/>
  </property>
  <property fmtid="{D5CDD505-2E9C-101B-9397-08002B2CF9AE}" pid="8" name="MediaServiceImageTags">
    <vt:lpwstr/>
  </property>
</Properties>
</file>